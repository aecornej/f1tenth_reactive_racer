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theme/theme1.xml" ContentType="application/vnd.openxmlformats-officedocument.theme+xml"/>
  <Override PartName="/xl/charts/style1.xml" ContentType="application/vnd.ms-office.chartstyle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<sst xmlns="http://schemas.openxmlformats.org/spreadsheetml/2006/main" count="10" uniqueCount="10">
  <si>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Distancia_Lidar</t>
  </si>
  <si>
    <t>Form_Origin</t>
  </si>
  <si>
    <t>Form_Mod</t>
  </si>
  <si>
    <t>Origin-mod</t>
  </si>
  <si>
    <t>exp_vel</t>
  </si>
  <si>
    <t>max_speed</t>
  </si>
  <si>
    <t>min_speed</t>
  </si>
  <si>
    <t>brake_dist</t>
  </si>
  <si>
    <t>k_vel</t>
  </si>
  <si>
    <t>k_vel_mod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</si>
</sst>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2.000000"/>
      <color theme="1"/>
      <name val="Calibri"/>
      <scheme val="minor"/>
    </font>
    <font>
      <sz val="12.000000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0" numFmtId="0" xfId="0" applyFont="1"/>
    <xf fontId="2" fillId="0" borderId="0" numFmtId="164" xfId="0" applyNumberFormat="1" applyFont="1"/>
    <xf fontId="3" fillId="0" borderId="0" numFmtId="0" xfId="0" applyFont="1" applyAlignment="1">
      <alignment horizontal="left"/>
    </xf>
    <xf fontId="2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1" cap="none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Dinámica de Velocidad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1" cap="none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smoothMarker"/>
        <c:varyColors val="0"/>
        <c:ser>
          <c:idx val="0"/>
          <c:order val="0"/>
          <c:tx>
            <c:v>Speed Vs Dist (Mod)</c:v>
          </c:tx>
          <c:spPr bwMode="auto">
            <a:prstGeom prst="rect">
              <a:avLst/>
            </a:prstGeom>
            <a:noFill/>
            <a:ln w="22225" cap="rnd">
              <a:solidFill>
                <a:schemeClr val="accent1"/>
              </a:solidFill>
            </a:ln>
          </c:spPr>
          <c:marker>
            <c:symbol val="circle"/>
            <c:size val="3"/>
            <c:spPr bwMode="auto">
              <a:prstGeom prst="rect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Hoja1!$A$2:$A$82</c:f>
              <c:numCache>
                <c:formatCode>General</c:formatCode>
                <c:ptCount val="8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</c:numCache>
            </c:numRef>
          </c:xVal>
          <c:yVal>
            <c:numRef>
              <c:f>Hoja1!$C$2:$C$82</c:f>
              <c:numCache>
                <c:formatCode>General</c:formatCode>
                <c:ptCount val="81"/>
                <c:pt idx="0">
                  <c:v>1.4</c:v>
                </c:pt>
                <c:pt idx="1">
                  <c:v>1.410787126319593</c:v>
                </c:pt>
                <c:pt idx="2">
                  <c:v>1.4227087446176159</c:v>
                </c:pt>
                <c:pt idx="3">
                  <c:v>1.4358841704569891</c:v>
                </c:pt>
                <c:pt idx="4">
                  <c:v>1.450445267927927</c:v>
                </c:pt>
                <c:pt idx="5">
                  <c:v>1.4665377693880721</c:v>
                </c:pt>
                <c:pt idx="6">
                  <c:v>1.4843227340009146</c:v>
                </c:pt>
                <c:pt idx="7">
                  <c:v>1.5039781596700326</c:v>
                </c:pt>
                <c:pt idx="8">
                  <c:v>1.5257007645019394</c:v>
                </c:pt>
                <c:pt idx="9">
                  <c:v>1.5497079556270124</c:v>
                </c:pt>
                <c:pt idx="10">
                  <c:v>1.5762400050831267</c:v>
                </c:pt>
                <c:pt idx="11">
                  <c:v>1.605562454538969</c:v>
                </c:pt>
                <c:pt idx="12">
                  <c:v>1.637968772924309</c:v>
                </c:pt>
                <c:pt idx="13">
                  <c:v>1.6737832935656871</c:v>
                </c:pt>
                <c:pt idx="14">
                  <c:v>1.7133644602233582</c:v>
                </c:pt>
                <c:pt idx="15">
                  <c:v>1.7571084145169218</c:v>
                </c:pt>
                <c:pt idx="16">
                  <c:v>1.8054529606437986</c:v>
                </c:pt>
                <c:pt idx="17">
                  <c:v>1.8588819470707894</c:v>
                </c:pt>
                <c:pt idx="18">
                  <c:v>1.9179301090521583</c:v>
                </c:pt>
                <c:pt idx="19">
                  <c:v>1.9831884204397872</c:v>
                </c:pt>
                <c:pt idx="20">
                  <c:v>2.0553100083481195</c:v>
                </c:pt>
                <c:pt idx="21">
                  <c:v>2.1350166898698446</c:v>
                </c:pt>
                <c:pt idx="22">
                  <c:v>2.223106196263973</c:v>
                </c:pt>
                <c:pt idx="23">
                  <c:v>2.3204601569184025</c:v>
                </c:pt>
                <c:pt idx="24">
                  <c:v>2.4280529229931584</c:v>
                </c:pt>
                <c:pt idx="25">
                  <c:v>2.5469613190542955</c:v>
                </c:pt>
                <c:pt idx="26">
                  <c:v>2.678375420296085</c:v>
                </c:pt>
                <c:pt idx="27">
                  <c:v>2.8236104632135595</c:v>
                </c:pt>
                <c:pt idx="28">
                  <c:v>2.98412000893142</c:v>
                </c:pt>
                <c:pt idx="29">
                  <c:v>3.1615104909323337</c:v>
                </c:pt>
                <c:pt idx="30">
                  <c:v>3.3575572927831656</c:v>
                </c:pt>
                <c:pt idx="31">
                  <c:v>3.5742225167704436</c:v>
                </c:pt>
                <c:pt idx="32">
                  <c:v>3.81367462127953</c:v>
                </c:pt>
                <c:pt idx="33">
                  <c:v>4.0783101234549815</c:v>
                </c:pt>
                <c:pt idx="34">
                  <c:v>4.370777584349636</c:v>
                </c:pt>
                <c:pt idx="35">
                  <c:v>4.6940041166138355</c:v>
                </c:pt>
                <c:pt idx="36">
                  <c:v>5.051224680022669</c:v>
                </c:pt>
                <c:pt idx="37">
                  <c:v>5.446014458040709</c:v>
                </c:pt>
                <c:pt idx="38">
                  <c:v>5.882324639459785</c:v>
                </c:pt>
                <c:pt idx="39">
                  <c:v>6.364521963224462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</c:numCache>
            </c:numRef>
          </c:yVal>
          <c:smooth val="1"/>
        </c:ser>
        <c:ser>
          <c:idx val="1"/>
          <c:order val="1"/>
          <c:tx>
            <c:v>Speed Vs Dist (Origin)</c:v>
          </c:tx>
          <c:spPr bwMode="auto">
            <a:prstGeom prst="rect">
              <a:avLst/>
            </a:prstGeom>
            <a:noFill/>
            <a:ln w="22225" cap="rnd">
              <a:solidFill>
                <a:schemeClr val="accent2"/>
              </a:solidFill>
            </a:ln>
          </c:spPr>
          <c:marker>
            <c:symbol val="circle"/>
            <c:size val="3"/>
            <c:spPr bwMode="auto">
              <a:prstGeom prst="rect">
                <a:avLst/>
              </a:prstGeom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</c:spPr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Hoja1!$A$2:$A$82</c:f>
              <c:numCache>
                <c:formatCode>General</c:formatCode>
                <c:ptCount val="8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</c:numCache>
            </c:numRef>
          </c:xVal>
          <c:yVal>
            <c:numRef>
              <c:f>Hoja1!$B$2:$B$82</c:f>
              <c:numCache>
                <c:formatCode>General</c:formatCode>
                <c:ptCount val="81"/>
                <c:pt idx="0">
                  <c:v>1.4</c:v>
                </c:pt>
                <c:pt idx="1">
                  <c:v>1.4109883856226273</c:v>
                </c:pt>
                <c:pt idx="2">
                  <c:v>1.4231324298493555</c:v>
                </c:pt>
                <c:pt idx="3">
                  <c:v>1.4365536743565603</c:v>
                </c:pt>
                <c:pt idx="4">
                  <c:v>1.4513864434703052</c:v>
                </c:pt>
                <c:pt idx="5">
                  <c:v>1.467779188529347</c:v>
                </c:pt>
                <c:pt idx="6">
                  <c:v>1.4858959736360282</c:v>
                </c:pt>
                <c:pt idx="7">
                  <c:v>1.5059181176649583</c:v>
                </c:pt>
                <c:pt idx="8">
                  <c:v>1.528046008963254</c:v>
                </c:pt>
                <c:pt idx="9">
                  <c:v>1.5525011109044693</c:v>
                </c:pt>
                <c:pt idx="10">
                  <c:v>1.5795281783684758</c:v>
                </c:pt>
                <c:pt idx="11">
                  <c:v>1.6093977073305645</c:v>
                </c:pt>
                <c:pt idx="12">
                  <c:v>1.642408642076083</c:v>
                </c:pt>
                <c:pt idx="13">
                  <c:v>1.6788913671353232</c:v>
                </c:pt>
                <c:pt idx="14">
                  <c:v>1.719211013882945</c:v>
                </c:pt>
                <c:pt idx="15">
                  <c:v>1.7637711148955</c:v>
                </c:pt>
                <c:pt idx="16">
                  <c:v>1.813017642641089</c:v>
                </c:pt>
                <c:pt idx="17">
                  <c:v>1.8674434729217193</c:v>
                </c:pt>
                <c:pt idx="18">
                  <c:v>1.9275933177399933</c:v>
                </c:pt>
                <c:pt idx="19">
                  <c:v>1.9940691769599124</c:v>
                </c:pt>
                <c:pt idx="20">
                  <c:v>2.067536363323858</c:v>
                </c:pt>
                <c:pt idx="21">
                  <c:v>2.1487301611261347</c:v>
                </c:pt>
                <c:pt idx="22">
                  <c:v>2.2384631851853256</c:v>
                </c:pt>
                <c:pt idx="23">
                  <c:v>2.3376335137665247</c:v>
                </c:pt>
                <c:pt idx="24">
                  <c:v>2.447233676850473</c:v>
                </c:pt>
                <c:pt idx="25">
                  <c:v>2.568360589707201</c:v>
                </c:pt>
                <c:pt idx="26">
                  <c:v>2.70222653119274</c:v>
                </c:pt>
                <c:pt idx="27">
                  <c:v>2.850171276643374</c:v>
                </c:pt>
                <c:pt idx="28">
                  <c:v>3.0136755067975187</c:v>
                </c:pt>
                <c:pt idx="29">
                  <c:v>3.1943756269462273</c:v>
                </c:pt>
                <c:pt idx="30">
                  <c:v>3.394080144627355</c:v>
                </c:pt>
                <c:pt idx="31">
                  <c:v>3.6147877697768616</c:v>
                </c:pt>
                <c:pt idx="32">
                  <c:v>3.858707418489638</c:v>
                </c:pt>
                <c:pt idx="33">
                  <c:v>4.128280320594225</c:v>
                </c:pt>
                <c:pt idx="34">
                  <c:v>4.426204452301469</c:v>
                </c:pt>
                <c:pt idx="35">
                  <c:v>4.755461538457254</c:v>
                </c:pt>
                <c:pt idx="36">
                  <c:v>5.119346894646958</c:v>
                </c:pt>
                <c:pt idx="37">
                  <c:v>5.521502407821416</c:v>
                </c:pt>
                <c:pt idx="38">
                  <c:v>5.965952985525611</c:v>
                </c:pt>
                <c:pt idx="39">
                  <c:v>6.457146838526212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axId val="1866169487"/>
        <c:axId val="1866169488"/>
      </c:scatterChart>
      <c:valAx>
        <c:axId val="1866169487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 sz="900" b="1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Distancia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88"/>
        <c:crosses val="autoZero"/>
        <c:crossBetween val="between"/>
      </c:valAx>
      <c:valAx>
        <c:axId val="186616948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 sz="900" b="1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Velocidad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8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 flipH="0" flipV="0">
      <a:off x="5219699" y="1243012"/>
      <a:ext cx="4552949" cy="2724149"/>
    </a:xfrm>
    <a:prstGeom prst="rect">
      <a:avLst/>
    </a:prstGeom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/>
  </cs:axisTitle>
  <cs:categoryAxis>
    <cs:lnRef idx="0"/>
    <cs:fillRef idx="0"/>
    <cs:effectRef idx="0"/>
    <cs:fontRef idx="minor">
      <a:schemeClr val="lt1">
        <a:lumMod val="75000"/>
      </a:schemeClr>
    </cs:fontRef>
    <cs:defRPr sz="90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>
        <a:lumMod val="75000"/>
      </a:schemeClr>
    </cs:fontRef>
    <cs:defRPr sz="900"/>
  </cs:dataLabel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>
        <a:solidFill>
          <a:schemeClr val="dk1">
            <a:lumMod val="50000"/>
            <a:lumOff val="50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 bwMode="auto">
      <a:prstGeom prst="rect">
        <a:avLst/>
      </a:prstGeom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cap="none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 cap="flat" cmpd="sng" algn="ctr">
        <a:solidFill>
          <a:schemeClr val="lt1">
            <a:lumMod val="50000"/>
          </a:schemeClr>
        </a:solidFill>
        <a:round/>
      </a:ln>
    </cs:spPr>
    <cs:defRPr sz="900"/>
    <cs:bodyPr/>
  </cs:valueAxis>
  <cs:wall>
    <cs:lnRef idx="0"/>
    <cs:fillRef idx="0"/>
    <cs:effectRef idx="0"/>
    <cs:fontRef idx="minor">
      <a:schemeClr val="dk1"/>
    </cs:fontRef>
  </cs:wall>
  <cs:dataPointMarkerLayout symbol="circle" size="3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7</xdr:col>
      <xdr:colOff>19049</xdr:colOff>
      <xdr:row>6</xdr:row>
      <xdr:rowOff>23811</xdr:rowOff>
    </xdr:from>
    <xdr:to>
      <xdr:col>14</xdr:col>
      <xdr:colOff>304798</xdr:colOff>
      <xdr:row>20</xdr:row>
      <xdr:rowOff>80962</xdr:rowOff>
    </xdr:to>
    <xdr:graphicFrame>
      <xdr:nvGraphicFramePr>
        <xdr:cNvPr id="130231901" name=""/>
        <xdr:cNvGraphicFramePr>
          <a:graphicFrameLocks xmlns:a="http://schemas.openxmlformats.org/drawingml/2006/main"/>
        </xdr:cNvGraphicFramePr>
      </xdr:nvGraphicFramePr>
      <xdr:xfrm rot="0" flipH="0" flipV="0">
        <a:off x="5219699" y="1243012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3.57421875"/>
    <col bestFit="1" min="2" max="2" width="14.00390625"/>
    <col bestFit="1" min="3" max="3" width="10.421875"/>
    <col bestFit="1" min="4" max="4" width="11.28125"/>
    <col bestFit="1" min="6" max="6" width="10.421875"/>
  </cols>
  <sheetData>
    <row r="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8.4000000000000004</v>
      </c>
      <c r="G1" s="1" t="s">
        <v>5</v>
      </c>
    </row>
    <row r="2" ht="16.5">
      <c r="A2">
        <v>0</v>
      </c>
      <c r="B2" s="3">
        <f t="shared" ref="B2:B9" si="0">IF(A2&gt;=$F$3,$F$1,$F$2+(($F$1-$F$2)*(IF($F$4=0,A2/$F$3,E2))))</f>
        <v>1.2</v>
      </c>
      <c r="C2" s="3">
        <f t="shared" ref="C2:C9" si="1">IF(A2&gt;=$F$3,$F$1,$F$2+(($F$1-$F$2)*(EXP($F$5*(A2/$F$3))-1)/(EXP($F$5))))</f>
        <v>1.2</v>
      </c>
      <c r="D2">
        <f t="shared" ref="D2:D9" si="2">B2-C2</f>
        <v>0</v>
      </c>
      <c r="E2">
        <f t="shared" ref="E2:E9" si="3">(EXP($F$4*(A2/$F$3))-1)/(EXP($F$4)-1)</f>
        <v>0</v>
      </c>
      <c r="F2" s="4">
        <v>1.2</v>
      </c>
      <c r="G2" s="1" t="s">
        <v>6</v>
      </c>
    </row>
    <row r="3" ht="16.5">
      <c r="A3">
        <v>0.10000000000000001</v>
      </c>
      <c r="B3" s="3">
        <f t="shared" si="0"/>
        <v>1.2407408916040967</v>
      </c>
      <c r="C3" s="3">
        <f t="shared" si="1"/>
        <v>1.234647332700973</v>
      </c>
      <c r="D3">
        <f t="shared" si="2"/>
        <v>0.0060935589031236859</v>
      </c>
      <c r="E3">
        <f t="shared" si="3"/>
        <v>0.0056584571672356754</v>
      </c>
      <c r="F3" s="2">
        <v>6</v>
      </c>
      <c r="G3" s="1" t="s">
        <v>7</v>
      </c>
    </row>
    <row r="4" ht="16.5">
      <c r="A4">
        <v>0.20000000000000001</v>
      </c>
      <c r="B4" s="3">
        <f t="shared" si="0"/>
        <v>1.2827925558092004</v>
      </c>
      <c r="C4" s="3">
        <f t="shared" si="1"/>
        <v>1.2704093875549052</v>
      </c>
      <c r="D4">
        <f t="shared" si="2"/>
        <v>0.012383168254295196</v>
      </c>
      <c r="E4">
        <f t="shared" si="3"/>
        <v>0.011498966084611165</v>
      </c>
      <c r="F4" s="4">
        <f>F5</f>
        <v>1.8999999999999999</v>
      </c>
      <c r="G4" s="1" t="s">
        <v>8</v>
      </c>
    </row>
    <row r="5" ht="15">
      <c r="A5">
        <v>0.29999999999999999</v>
      </c>
      <c r="B5" s="3">
        <f t="shared" si="0"/>
        <v>1.3261971646136124</v>
      </c>
      <c r="C5" s="3">
        <f t="shared" si="1"/>
        <v>1.3073220289525427</v>
      </c>
      <c r="D5">
        <f t="shared" si="2"/>
        <v>0.018875135661069686</v>
      </c>
      <c r="E5">
        <f t="shared" si="3"/>
        <v>0.017527383974112826</v>
      </c>
      <c r="F5">
        <v>1.8999999999999999</v>
      </c>
      <c r="G5" s="1" t="s">
        <v>9</v>
      </c>
    </row>
    <row r="6" ht="15">
      <c r="A6">
        <v>0.40000000000000002</v>
      </c>
      <c r="B6" s="3">
        <f t="shared" si="0"/>
        <v>1.3709982468317903</v>
      </c>
      <c r="C6" s="3">
        <f t="shared" si="1"/>
        <v>1.345422275163668</v>
      </c>
      <c r="D6">
        <f t="shared" si="2"/>
        <v>0.02557597166812231</v>
      </c>
      <c r="E6">
        <f t="shared" si="3"/>
        <v>0.023749756504415326</v>
      </c>
    </row>
    <row r="7" ht="15">
      <c r="A7">
        <v>0.5</v>
      </c>
      <c r="B7" s="3">
        <f t="shared" si="0"/>
        <v>1.4172407317477218</v>
      </c>
      <c r="C7" s="3">
        <f t="shared" si="1"/>
        <v>1.3847483354613002</v>
      </c>
      <c r="D7">
        <f t="shared" si="2"/>
        <v>0.032492396286421643</v>
      </c>
      <c r="E7">
        <f t="shared" si="3"/>
        <v>0.030172323853850262</v>
      </c>
    </row>
    <row r="8" ht="15">
      <c r="A8">
        <v>0.59999999999999998</v>
      </c>
      <c r="B8" s="3">
        <f t="shared" si="0"/>
        <v>1.464970994172778</v>
      </c>
      <c r="C8" s="3">
        <f t="shared" si="1"/>
        <v>1.4253396484403067</v>
      </c>
      <c r="D8">
        <f t="shared" si="2"/>
        <v>0.03963134573247129</v>
      </c>
      <c r="E8">
        <f t="shared" si="3"/>
        <v>0.036801526968441384</v>
      </c>
    </row>
    <row r="9" ht="15">
      <c r="A9">
        <v>0.69999999999999996</v>
      </c>
      <c r="B9" s="3">
        <f t="shared" si="0"/>
        <v>1.5142369009532297</v>
      </c>
      <c r="C9" s="3">
        <f t="shared" si="1"/>
        <v>1.4672369215688552</v>
      </c>
      <c r="D9">
        <f t="shared" si="2"/>
        <v>0.046999979384374502</v>
      </c>
      <c r="E9">
        <f t="shared" si="3"/>
        <v>0.043644014021281909</v>
      </c>
    </row>
    <row r="10" ht="15">
      <c r="A10">
        <v>0.80000000000000004</v>
      </c>
      <c r="B10" s="3">
        <f t="shared" ref="B10:B73" si="4">IF(A10&gt;=$F$3,$F$1,$F$2+(($F$1-$F$2)*(IF($F$4=0,A10/$F$3,E10))))</f>
        <v>1.5650878589740689</v>
      </c>
      <c r="C10" s="3">
        <f t="shared" ref="C10:C73" si="5">IF(A10&gt;=$F$3,$F$1,$F$2+(($F$1-$F$2)*(EXP($F$5*(A10/$F$3))-1)/(EXP($F$5))))</f>
        <v>1.5104821720123693</v>
      </c>
      <c r="D10">
        <f t="shared" ref="D10:D73" si="6">B10-C10</f>
        <v>0.05460568696169954</v>
      </c>
      <c r="E10">
        <f t="shared" ref="E10:E73" si="7">(EXP($F$4*(A10/$F$3))-1)/(EXP($F$4)-1)</f>
        <v>0.050706647079731798</v>
      </c>
    </row>
    <row r="11" ht="15">
      <c r="A11">
        <v>0.90000000000000002</v>
      </c>
      <c r="B11" s="3">
        <f t="shared" si="4"/>
        <v>1.6175748647072745</v>
      </c>
      <c r="C11" s="3">
        <f t="shared" si="5"/>
        <v>1.5551187687709289</v>
      </c>
      <c r="D11">
        <f t="shared" si="6"/>
        <v>0.062456095936345601</v>
      </c>
      <c r="E11">
        <f t="shared" si="7"/>
        <v>0.057996508987121484</v>
      </c>
    </row>
    <row r="12" ht="15">
      <c r="A12">
        <v>1</v>
      </c>
      <c r="B12" s="3">
        <f t="shared" si="4"/>
        <v>1.6717505553542158</v>
      </c>
      <c r="C12" s="3">
        <f t="shared" si="5"/>
        <v>1.6011914761723745</v>
      </c>
      <c r="D12">
        <f t="shared" si="6"/>
        <v>0.070559079181841344</v>
      </c>
      <c r="E12">
        <f t="shared" si="7"/>
        <v>0.065520910465863308</v>
      </c>
    </row>
    <row r="13" ht="15">
      <c r="A13">
        <v>1.1000000000000001</v>
      </c>
      <c r="B13" s="3">
        <f t="shared" si="4"/>
        <v>1.7276692616334772</v>
      </c>
      <c r="C13" s="3">
        <f t="shared" si="5"/>
        <v>1.6487464987647307</v>
      </c>
      <c r="D13">
        <f t="shared" si="6"/>
        <v>0.078922762868746554</v>
      </c>
      <c r="E13">
        <f t="shared" si="7"/>
        <v>0.073287397449094072</v>
      </c>
    </row>
    <row r="14" ht="15">
      <c r="A14">
        <v>1.2</v>
      </c>
      <c r="B14" s="3">
        <f t="shared" si="4"/>
        <v>1.7853870622670516</v>
      </c>
      <c r="C14" s="3">
        <f t="shared" si="5"/>
        <v>1.6978315276529738</v>
      </c>
      <c r="D14">
        <f t="shared" si="6"/>
        <v>0.087555534614077724</v>
      </c>
      <c r="E14">
        <f t="shared" si="7"/>
        <v>0.081303758648201593</v>
      </c>
    </row>
    <row r="15" ht="15">
      <c r="A15">
        <v>1.3</v>
      </c>
      <c r="B15" s="3">
        <f t="shared" si="4"/>
        <v>1.8449618402195325</v>
      </c>
      <c r="C15" s="3">
        <f t="shared" si="5"/>
        <v>1.7484957883266072</v>
      </c>
      <c r="D15">
        <f t="shared" si="6"/>
        <v>0.096466051892925231</v>
      </c>
      <c r="E15">
        <f t="shared" si="7"/>
        <v>0.089578033363823958</v>
      </c>
    </row>
    <row r="16" ht="15">
      <c r="A16">
        <v>1.3999999999999999</v>
      </c>
      <c r="B16" s="3">
        <f t="shared" si="4"/>
        <v>1.9064533407467181</v>
      </c>
      <c r="C16" s="3">
        <f t="shared" si="5"/>
        <v>1.8007900900260139</v>
      </c>
      <c r="D16">
        <f t="shared" si="6"/>
        <v>0.10566325072070426</v>
      </c>
      <c r="E16">
        <f t="shared" si="7"/>
        <v>0.0981185195481553</v>
      </c>
    </row>
    <row r="17" ht="15">
      <c r="A17">
        <v>1.5</v>
      </c>
      <c r="B17" s="3">
        <f t="shared" si="4"/>
        <v>1.9699232313118309</v>
      </c>
      <c r="C17" s="3">
        <f t="shared" si="5"/>
        <v>1.8547668766970911</v>
      </c>
      <c r="D17">
        <f t="shared" si="6"/>
        <v>0.11515635461473983</v>
      </c>
      <c r="E17">
        <f t="shared" si="7"/>
        <v>0.10693378212664319</v>
      </c>
    </row>
    <row r="18" ht="15">
      <c r="A18">
        <v>1.6000000000000001</v>
      </c>
      <c r="B18" s="3">
        <f t="shared" si="4"/>
        <v>2.0354351634294483</v>
      </c>
      <c r="C18" s="3">
        <f t="shared" si="5"/>
        <v>1.9104802795852689</v>
      </c>
      <c r="D18">
        <f t="shared" si="6"/>
        <v>0.12495488384417941</v>
      </c>
      <c r="E18">
        <f t="shared" si="7"/>
        <v>0.11603266158742334</v>
      </c>
    </row>
    <row r="19" ht="15">
      <c r="A19">
        <v>1.7</v>
      </c>
      <c r="B19" s="3">
        <f t="shared" si="4"/>
        <v>2.1030548364991595</v>
      </c>
      <c r="C19" s="3">
        <f t="shared" si="5"/>
        <v>1.9679861715216576</v>
      </c>
      <c r="D19">
        <f t="shared" si="6"/>
        <v>0.13506866497750192</v>
      </c>
      <c r="E19">
        <f t="shared" si="7"/>
        <v>0.12542428284710547</v>
      </c>
    </row>
    <row r="20" ht="15">
      <c r="A20">
        <v>1.8</v>
      </c>
      <c r="B20" s="3">
        <f t="shared" si="4"/>
        <v>2.1728500636929704</v>
      </c>
      <c r="C20" s="3">
        <f t="shared" si="5"/>
        <v>2.0273422229557601</v>
      </c>
      <c r="D20">
        <f t="shared" si="6"/>
        <v>0.14550784073721035</v>
      </c>
      <c r="E20">
        <f t="shared" si="7"/>
        <v>0.13511806440180144</v>
      </c>
    </row>
    <row r="21" ht="15">
      <c r="A21">
        <v>1.8999999999999999</v>
      </c>
      <c r="B21" s="3">
        <f t="shared" si="4"/>
        <v>2.2448908399625278</v>
      </c>
      <c r="C21" s="3">
        <f t="shared" si="5"/>
        <v>2.088607959790953</v>
      </c>
      <c r="D21">
        <f t="shared" si="6"/>
        <v>0.15628288017157477</v>
      </c>
      <c r="E21">
        <f t="shared" si="7"/>
        <v>0.14512372777257332</v>
      </c>
    </row>
    <row r="22" ht="15">
      <c r="A22">
        <v>2</v>
      </c>
      <c r="B22" s="3">
        <f t="shared" si="4"/>
        <v>2.3192494122343681</v>
      </c>
      <c r="C22" s="3">
        <f t="shared" si="5"/>
        <v>2.1518448230807277</v>
      </c>
      <c r="D22">
        <f t="shared" si="6"/>
        <v>0.16740458915364043</v>
      </c>
      <c r="E22">
        <f t="shared" si="7"/>
        <v>0.15545130725477335</v>
      </c>
    </row>
    <row r="23" ht="15">
      <c r="A23">
        <v>2.1000000000000001</v>
      </c>
      <c r="B23" s="3">
        <f t="shared" si="4"/>
        <v>2.3960003518635808</v>
      </c>
      <c r="C23" s="3">
        <f t="shared" si="5"/>
        <v>2.2171162306455594</v>
      </c>
      <c r="D23">
        <f t="shared" si="6"/>
        <v>0.17888412121802144</v>
      </c>
      <c r="E23">
        <f t="shared" si="7"/>
        <v>0.16611115998105289</v>
      </c>
    </row>
    <row r="24" ht="15">
      <c r="A24">
        <v>2.2000000000000002</v>
      </c>
      <c r="B24" s="3">
        <f t="shared" si="4"/>
        <v>2.4752206294185584</v>
      </c>
      <c r="C24" s="3">
        <f t="shared" si="5"/>
        <v>2.284487640672205</v>
      </c>
      <c r="D24">
        <f t="shared" si="6"/>
        <v>0.19073298874635336</v>
      </c>
      <c r="E24">
        <f t="shared" si="7"/>
        <v>0.17711397630813311</v>
      </c>
    </row>
    <row r="25" ht="15">
      <c r="A25">
        <v>2.2999999999999998</v>
      </c>
      <c r="B25" s="3">
        <f t="shared" si="4"/>
        <v>2.5569896918718213</v>
      </c>
      <c r="C25" s="3">
        <f t="shared" si="5"/>
        <v>2.3540266173592039</v>
      </c>
      <c r="D25">
        <f t="shared" si="6"/>
        <v>0.20296307451261741</v>
      </c>
      <c r="E25">
        <f t="shared" si="7"/>
        <v>0.18847079053775295</v>
      </c>
    </row>
    <row r="26" ht="15">
      <c r="A26">
        <v>2.3999999999999999</v>
      </c>
      <c r="B26" s="3">
        <f t="shared" si="4"/>
        <v>2.6413895422743336</v>
      </c>
      <c r="C26" s="3">
        <f t="shared" si="5"/>
        <v>2.4258028986744158</v>
      </c>
      <c r="D26">
        <f t="shared" si="6"/>
        <v>0.21558664359991786</v>
      </c>
      <c r="E26">
        <f t="shared" si="7"/>
        <v>0.20019299198254634</v>
      </c>
    </row>
    <row r="27" ht="15">
      <c r="A27">
        <v>2.5</v>
      </c>
      <c r="B27" s="3">
        <f t="shared" si="4"/>
        <v>2.7285048219932131</v>
      </c>
      <c r="C27" s="3">
        <f t="shared" si="5"/>
        <v>2.4998884662925485</v>
      </c>
      <c r="D27">
        <f t="shared" si="6"/>
        <v>0.22861635570066463</v>
      </c>
      <c r="E27">
        <f t="shared" si="7"/>
        <v>0.21229233638794623</v>
      </c>
    </row>
    <row r="28" ht="15">
      <c r="A28">
        <v>2.6000000000000001</v>
      </c>
      <c r="B28" s="3">
        <f t="shared" si="4"/>
        <v>2.8184228955953032</v>
      </c>
      <c r="C28" s="3">
        <f t="shared" si="5"/>
        <v>2.5763576177828149</v>
      </c>
      <c r="D28">
        <f t="shared" si="6"/>
        <v>0.24206527781248832</v>
      </c>
      <c r="E28">
        <f t="shared" si="7"/>
        <v>0.22478095772156989</v>
      </c>
    </row>
    <row r="29" ht="15">
      <c r="A29">
        <v>2.7000000000000002</v>
      </c>
      <c r="B29" s="3">
        <f t="shared" si="4"/>
        <v>2.9112339384617441</v>
      </c>
      <c r="C29" s="3">
        <f t="shared" si="5"/>
        <v>2.6552870411191094</v>
      </c>
      <c r="D29">
        <f t="shared" si="6"/>
        <v>0.25594689734263465</v>
      </c>
      <c r="E29">
        <f t="shared" si="7"/>
        <v>0.23767138034190891</v>
      </c>
    </row>
    <row r="30" ht="15">
      <c r="A30">
        <v>2.7999999999999998</v>
      </c>
      <c r="B30" s="3">
        <f t="shared" si="4"/>
        <v>3.0070310272213963</v>
      </c>
      <c r="C30" s="3">
        <f t="shared" si="5"/>
        <v>2.7367558915874319</v>
      </c>
      <c r="D30">
        <f t="shared" si="6"/>
        <v>0.27027513563396433</v>
      </c>
      <c r="E30">
        <f t="shared" si="7"/>
        <v>0.25097653155852723</v>
      </c>
    </row>
    <row r="31" ht="15">
      <c r="A31">
        <v>2.8999999999999999</v>
      </c>
      <c r="B31" s="3">
        <f t="shared" si="4"/>
        <v>3.1059102330938155</v>
      </c>
      <c r="C31" s="3">
        <f t="shared" si="5"/>
        <v>2.8208458711676831</v>
      </c>
      <c r="D31">
        <f t="shared" si="6"/>
        <v>0.28506436192613238</v>
      </c>
      <c r="E31">
        <f t="shared" si="7"/>
        <v>0.26470975459636326</v>
      </c>
    </row>
    <row r="32" ht="15">
      <c r="A32">
        <v>3</v>
      </c>
      <c r="B32" s="3">
        <f t="shared" si="4"/>
        <v>3.2079707182353863</v>
      </c>
      <c r="C32" s="3">
        <f t="shared" si="5"/>
        <v>2.9076413104694363</v>
      </c>
      <c r="D32">
        <f t="shared" si="6"/>
        <v>0.30032940776594996</v>
      </c>
      <c r="E32">
        <f t="shared" si="7"/>
        <v>0.27888482197713693</v>
      </c>
    </row>
    <row r="33" ht="15">
      <c r="A33">
        <v>3.1000000000000001</v>
      </c>
      <c r="B33" s="3">
        <f t="shared" si="4"/>
        <v>3.3133148351852393</v>
      </c>
      <c r="C33" s="3">
        <f t="shared" si="5"/>
        <v>2.9972292533038729</v>
      </c>
      <c r="D33">
        <f t="shared" si="6"/>
        <v>0.31608558188136637</v>
      </c>
      <c r="E33">
        <f t="shared" si="7"/>
        <v>0.29351594933128328</v>
      </c>
    </row>
    <row r="34" ht="15">
      <c r="A34">
        <v>3.2000000000000002</v>
      </c>
      <c r="B34" s="3">
        <f t="shared" si="4"/>
        <v>3.4220482295106809</v>
      </c>
      <c r="C34" s="3">
        <f t="shared" si="5"/>
        <v>3.0896995439766677</v>
      </c>
      <c r="D34">
        <f t="shared" si="6"/>
        <v>0.3323486855340132</v>
      </c>
      <c r="E34">
        <f t="shared" si="7"/>
        <v>0.30861780965426122</v>
      </c>
    </row>
    <row r="35" ht="15">
      <c r="A35">
        <v>3.2999999999999998</v>
      </c>
      <c r="B35" s="3">
        <f t="shared" si="4"/>
        <v>3.5342799457550749</v>
      </c>
      <c r="C35" s="3">
        <f t="shared" si="5"/>
        <v>3.1851449173894011</v>
      </c>
      <c r="D35">
        <f t="shared" si="6"/>
        <v>0.34913502836567378</v>
      </c>
      <c r="E35">
        <f t="shared" si="7"/>
        <v>0.32420554802153823</v>
      </c>
    </row>
    <row r="36" ht="15">
      <c r="A36">
        <v>3.3999999999999999</v>
      </c>
      <c r="B36" s="3">
        <f t="shared" si="4"/>
        <v>3.650122536794421</v>
      </c>
      <c r="C36" s="3">
        <f t="shared" si="5"/>
        <v>3.2836610920398197</v>
      </c>
      <c r="D36">
        <f t="shared" si="6"/>
        <v>0.3664614447546013</v>
      </c>
      <c r="E36">
        <f t="shared" si="7"/>
        <v>0.34029479677700297</v>
      </c>
    </row>
    <row r="37" ht="15">
      <c r="A37">
        <v>3.5</v>
      </c>
      <c r="B37" s="3">
        <f t="shared" si="4"/>
        <v>3.7696921767123133</v>
      </c>
      <c r="C37" s="3">
        <f t="shared" si="5"/>
        <v>3.3853468660142454</v>
      </c>
      <c r="D37">
        <f t="shared" si="6"/>
        <v>0.38434531069806788</v>
      </c>
      <c r="E37">
        <f t="shared" si="7"/>
        <v>0.3569016912100435</v>
      </c>
    </row>
    <row r="38" ht="15">
      <c r="A38">
        <v>3.6000000000000001</v>
      </c>
      <c r="B38" s="3">
        <f t="shared" si="4"/>
        <v>3.8931087773064599</v>
      </c>
      <c r="C38" s="3">
        <f t="shared" si="5"/>
        <v>3.4903042160683739</v>
      </c>
      <c r="D38">
        <f t="shared" si="6"/>
        <v>0.40280456123808595</v>
      </c>
      <c r="E38">
        <f t="shared" si="7"/>
        <v>0.37404288573700833</v>
      </c>
    </row>
    <row r="39" ht="15">
      <c r="A39">
        <v>3.7000000000000002</v>
      </c>
      <c r="B39" s="3">
        <f t="shared" si="4"/>
        <v>4.0204961083436288</v>
      </c>
      <c r="C39" s="3">
        <f t="shared" si="5"/>
        <v>3.5986383998958571</v>
      </c>
      <c r="D39">
        <f t="shared" si="6"/>
        <v>0.42185770844777171</v>
      </c>
      <c r="E39">
        <f t="shared" si="7"/>
        <v>0.39173557060328179</v>
      </c>
    </row>
    <row r="40" ht="15">
      <c r="A40">
        <v>3.7999999999999998</v>
      </c>
      <c r="B40" s="3">
        <f t="shared" si="4"/>
        <v>4.1519819216835776</v>
      </c>
      <c r="C40" s="3">
        <f t="shared" si="5"/>
        <v>3.7104580616871834</v>
      </c>
      <c r="D40">
        <f t="shared" si="6"/>
        <v>0.44152385999639421</v>
      </c>
      <c r="E40">
        <f t="shared" si="7"/>
        <v>0.40999748912271905</v>
      </c>
    </row>
    <row r="41" ht="15">
      <c r="A41">
        <v>3.8999999999999999</v>
      </c>
      <c r="B41" s="3">
        <f t="shared" si="4"/>
        <v>4.2876980793964936</v>
      </c>
      <c r="C41" s="3">
        <f t="shared" si="5"/>
        <v>3.8258753410847772</v>
      </c>
      <c r="D41">
        <f t="shared" si="6"/>
        <v>0.46182273831171639</v>
      </c>
      <c r="E41">
        <f t="shared" si="7"/>
        <v>0.42884695547173518</v>
      </c>
    </row>
    <row r="42" ht="15">
      <c r="A42">
        <v>4</v>
      </c>
      <c r="B42" s="3">
        <f t="shared" si="4"/>
        <v>4.4277806860023965</v>
      </c>
      <c r="C42" s="3">
        <f t="shared" si="5"/>
        <v>3.9450059856435278</v>
      </c>
      <c r="D42">
        <f t="shared" si="6"/>
        <v>0.48277470035886871</v>
      </c>
      <c r="E42">
        <f t="shared" si="7"/>
        <v>0.44830287305588834</v>
      </c>
    </row>
    <row r="43" ht="15">
      <c r="A43">
        <v>4.0999999999999996</v>
      </c>
      <c r="B43" s="3">
        <f t="shared" si="4"/>
        <v>4.5723702249651277</v>
      </c>
      <c r="C43" s="3">
        <f t="shared" si="5"/>
        <v>4.0679694669095667</v>
      </c>
      <c r="D43">
        <f t="shared" si="6"/>
        <v>0.50440075805556095</v>
      </c>
      <c r="E43">
        <f t="shared" si="7"/>
        <v>0.46838475346737884</v>
      </c>
    </row>
    <row r="44" ht="15">
      <c r="A44">
        <v>4.2000000000000002</v>
      </c>
      <c r="B44" s="3">
        <f t="shared" si="4"/>
        <v>4.7216116995778288</v>
      </c>
      <c r="C44" s="3">
        <f t="shared" si="5"/>
        <v>4.1948891002336959</v>
      </c>
      <c r="D44">
        <f t="shared" si="6"/>
        <v>0.5267225993441329</v>
      </c>
      <c r="E44">
        <f t="shared" si="7"/>
        <v>0.48911273605247618</v>
      </c>
    </row>
    <row r="45" ht="15">
      <c r="A45">
        <v>4.2999999999999998</v>
      </c>
      <c r="B45" s="3">
        <f t="shared" si="4"/>
        <v>4.875654778381155</v>
      </c>
      <c r="C45" s="3">
        <f t="shared" si="5"/>
        <v>4.3258921684396041</v>
      </c>
      <c r="D45">
        <f t="shared" si="6"/>
        <v>0.54976260994155091</v>
      </c>
      <c r="E45">
        <f t="shared" si="7"/>
        <v>0.51050760810849372</v>
      </c>
    </row>
    <row r="46" ht="15">
      <c r="A46">
        <v>4.4000000000000004</v>
      </c>
      <c r="B46" s="3">
        <f t="shared" si="4"/>
        <v>5.034653945260124</v>
      </c>
      <c r="C46" s="3">
        <f t="shared" si="5"/>
        <v>4.4611100494709381</v>
      </c>
      <c r="D46">
        <f t="shared" si="6"/>
        <v>0.57354389578918585</v>
      </c>
      <c r="E46">
        <f t="shared" si="7"/>
        <v>0.53259082573057281</v>
      </c>
    </row>
    <row r="47" ht="15">
      <c r="A47">
        <v>4.5</v>
      </c>
      <c r="B47" s="3">
        <f t="shared" si="4"/>
        <v>5.1987686543700553</v>
      </c>
      <c r="C47" s="3">
        <f t="shared" si="5"/>
        <v>4.6006783481451716</v>
      </c>
      <c r="D47">
        <f t="shared" si="6"/>
        <v>0.59809030622488368</v>
      </c>
      <c r="E47">
        <f t="shared" si="7"/>
        <v>0.55538453532917431</v>
      </c>
    </row>
    <row r="48" ht="15">
      <c r="A48">
        <v>4.5999999999999996</v>
      </c>
      <c r="B48" s="3">
        <f t="shared" si="4"/>
        <v>5.3681634900470225</v>
      </c>
      <c r="C48" s="3">
        <f t="shared" si="5"/>
        <v>4.7447370321464897</v>
      </c>
      <c r="D48">
        <f t="shared" si="6"/>
        <v>0.62342645790053286</v>
      </c>
      <c r="E48">
        <f t="shared" si="7"/>
        <v>0.57891159583986418</v>
      </c>
    </row>
    <row r="49" ht="15">
      <c r="A49">
        <v>4.7000000000000002</v>
      </c>
      <c r="B49" s="3">
        <f t="shared" si="4"/>
        <v>5.5430083318631542</v>
      </c>
      <c r="C49" s="3">
        <f t="shared" si="5"/>
        <v>4.8934305723939824</v>
      </c>
      <c r="D49">
        <f t="shared" si="6"/>
        <v>0.64957775946917184</v>
      </c>
      <c r="E49">
        <f t="shared" si="7"/>
        <v>0.60319560164766028</v>
      </c>
    </row>
    <row r="50" ht="15">
      <c r="A50">
        <v>4.7999999999999998</v>
      </c>
      <c r="B50" s="3">
        <f t="shared" si="4"/>
        <v>5.723478524992335</v>
      </c>
      <c r="C50" s="3">
        <f t="shared" si="5"/>
        <v>5.0469080879259893</v>
      </c>
      <c r="D50">
        <f t="shared" si="6"/>
        <v>0.67657043706634568</v>
      </c>
      <c r="E50">
        <f t="shared" si="7"/>
        <v>0.62826090624893538</v>
      </c>
    </row>
    <row r="51" ht="15">
      <c r="A51">
        <v>4.9000000000000004</v>
      </c>
      <c r="B51" s="3">
        <f t="shared" si="4"/>
        <v>5.9097550560571435</v>
      </c>
      <c r="C51" s="3">
        <f t="shared" si="5"/>
        <v>5.2053234954458523</v>
      </c>
      <c r="D51">
        <f t="shared" si="6"/>
        <v>0.7044315606112912</v>
      </c>
      <c r="E51">
        <f t="shared" si="7"/>
        <v>0.65413264667460325</v>
      </c>
    </row>
    <row r="52" ht="15">
      <c r="A52">
        <v>5</v>
      </c>
      <c r="B52" s="3">
        <f t="shared" si="4"/>
        <v>6.1020247346333747</v>
      </c>
      <c r="C52" s="3">
        <f t="shared" si="5"/>
        <v>5.3688356636790564</v>
      </c>
      <c r="D52">
        <f t="shared" si="6"/>
        <v>0.73318907095431829</v>
      </c>
      <c r="E52">
        <f t="shared" si="7"/>
        <v>0.68083676869907972</v>
      </c>
    </row>
    <row r="53" ht="15">
      <c r="A53">
        <v>5.0999999999999996</v>
      </c>
      <c r="B53" s="3">
        <f t="shared" si="4"/>
        <v>6.3004803805941973</v>
      </c>
      <c r="C53" s="3">
        <f t="shared" si="5"/>
        <v>5.5376085726965831</v>
      </c>
      <c r="D53">
        <f t="shared" si="6"/>
        <v>0.76287180789761422</v>
      </c>
      <c r="E53">
        <f t="shared" si="7"/>
        <v>0.70840005286030516</v>
      </c>
    </row>
    <row r="54" ht="15">
      <c r="A54">
        <v>5.2000000000000002</v>
      </c>
      <c r="B54" s="3">
        <f t="shared" si="4"/>
        <v>6.5053210174817861</v>
      </c>
      <c r="C54" s="3">
        <f t="shared" si="5"/>
        <v>5.7118114783642095</v>
      </c>
      <c r="D54">
        <f t="shared" si="6"/>
        <v>0.7935095391175766</v>
      </c>
      <c r="E54">
        <f t="shared" si="7"/>
        <v>0.73685014131691473</v>
      </c>
    </row>
    <row r="55" ht="15">
      <c r="A55">
        <v>5.2999999999999998</v>
      </c>
      <c r="B55" s="3">
        <f t="shared" si="4"/>
        <v>6.7167520721003884</v>
      </c>
      <c r="C55" s="3">
        <f t="shared" si="5"/>
        <v>5.8916190820827223</v>
      </c>
      <c r="D55">
        <f t="shared" si="6"/>
        <v>0.82513299001766605</v>
      </c>
      <c r="E55">
        <f t="shared" si="7"/>
        <v>0.76621556556949832</v>
      </c>
    </row>
    <row r="56" ht="15">
      <c r="A56">
        <v>5.4000000000000004</v>
      </c>
      <c r="B56" s="3">
        <f t="shared" si="4"/>
        <v>6.9349855805309781</v>
      </c>
      <c r="C56" s="3">
        <f t="shared" si="5"/>
        <v>6.077211705989237</v>
      </c>
      <c r="D56">
        <f t="shared" si="6"/>
        <v>0.85777387454174114</v>
      </c>
      <c r="E56">
        <f t="shared" si="7"/>
        <v>0.79652577507374689</v>
      </c>
    </row>
    <row r="57" ht="15">
      <c r="A57">
        <v>5.5</v>
      </c>
      <c r="B57" s="3">
        <f t="shared" si="4"/>
        <v>7.1602404007740832</v>
      </c>
      <c r="C57" s="3">
        <f t="shared" si="5"/>
        <v>6.2687754737953378</v>
      </c>
      <c r="D57">
        <f t="shared" si="6"/>
        <v>0.89146492697874535</v>
      </c>
      <c r="E57">
        <f t="shared" si="7"/>
        <v>0.82781116677417821</v>
      </c>
    </row>
    <row r="58" ht="15">
      <c r="A58">
        <v>5.5999999999999996</v>
      </c>
      <c r="B58" s="3">
        <f t="shared" si="4"/>
        <v>7.3927424322340789</v>
      </c>
      <c r="C58" s="3">
        <f t="shared" si="5"/>
        <v>6.4665024974434058</v>
      </c>
      <c r="D58">
        <f t="shared" si="6"/>
        <v>0.92623993479067313</v>
      </c>
      <c r="E58">
        <f t="shared" si="7"/>
        <v>0.86010311558806651</v>
      </c>
    </row>
    <row r="59" ht="15">
      <c r="A59">
        <v>5.7000000000000002</v>
      </c>
      <c r="B59" s="3">
        <f t="shared" si="4"/>
        <v>7.6327248422650156</v>
      </c>
      <c r="C59" s="3">
        <f t="shared" si="5"/>
        <v>6.6705910697682933</v>
      </c>
      <c r="D59">
        <f t="shared" si="6"/>
        <v>0.96213377249672227</v>
      </c>
      <c r="E59">
        <f t="shared" si="7"/>
        <v>0.89343400587014099</v>
      </c>
    </row>
    <row r="60" ht="15">
      <c r="A60">
        <v>5.7999999999999998</v>
      </c>
      <c r="B60" s="3">
        <f t="shared" si="4"/>
        <v>7.880428300005188</v>
      </c>
      <c r="C60" s="3">
        <f t="shared" si="5"/>
        <v>6.8812458633575968</v>
      </c>
      <c r="D60">
        <f t="shared" si="6"/>
        <v>0.99918243664759121</v>
      </c>
      <c r="E60">
        <f t="shared" si="7"/>
        <v>0.92783726388960941</v>
      </c>
    </row>
    <row r="61" ht="15">
      <c r="A61">
        <v>5.9000000000000004</v>
      </c>
      <c r="B61" s="3">
        <f t="shared" si="4"/>
        <v>8.1361012177349803</v>
      </c>
      <c r="C61" s="3">
        <f t="shared" si="5"/>
        <v>7.0986781358099229</v>
      </c>
      <c r="D61">
        <f t="shared" si="6"/>
        <v>1.0374230819250574</v>
      </c>
      <c r="E61">
        <f t="shared" si="7"/>
        <v>0.9633473913520807</v>
      </c>
    </row>
    <row r="62" ht="15">
      <c r="A62">
        <v>6</v>
      </c>
      <c r="B62" s="3">
        <f t="shared" si="4"/>
        <v>8.4000000000000004</v>
      </c>
      <c r="C62" s="3">
        <f t="shared" si="5"/>
        <v>8.4000000000000004</v>
      </c>
      <c r="D62">
        <f t="shared" si="6"/>
        <v>0</v>
      </c>
      <c r="E62">
        <f t="shared" si="7"/>
        <v>1</v>
      </c>
    </row>
    <row r="63" ht="15">
      <c r="A63">
        <v>6.0999999999999996</v>
      </c>
      <c r="B63" s="3">
        <f t="shared" si="4"/>
        <v>8.4000000000000004</v>
      </c>
      <c r="C63" s="3">
        <f t="shared" si="5"/>
        <v>8.4000000000000004</v>
      </c>
      <c r="D63">
        <f t="shared" si="6"/>
        <v>0</v>
      </c>
      <c r="E63">
        <f t="shared" si="7"/>
        <v>1.0378318473262962</v>
      </c>
    </row>
    <row r="64" ht="15">
      <c r="A64">
        <v>6.2000000000000002</v>
      </c>
      <c r="B64" s="3">
        <f t="shared" si="4"/>
        <v>8.4000000000000004</v>
      </c>
      <c r="C64" s="3">
        <f t="shared" si="5"/>
        <v>8.4000000000000004</v>
      </c>
      <c r="D64">
        <f t="shared" si="6"/>
        <v>0</v>
      </c>
      <c r="E64">
        <f t="shared" si="7"/>
        <v>1.0768808734370598</v>
      </c>
    </row>
    <row r="65" ht="14.25">
      <c r="A65">
        <v>6.2999999999999998</v>
      </c>
      <c r="B65" s="3">
        <f t="shared" si="4"/>
        <v>8.4000000000000004</v>
      </c>
      <c r="C65" s="3">
        <f t="shared" si="5"/>
        <v>8.4000000000000004</v>
      </c>
      <c r="D65">
        <f t="shared" si="6"/>
        <v>0</v>
      </c>
      <c r="E65">
        <f t="shared" si="7"/>
        <v>1.1171862391002159</v>
      </c>
    </row>
    <row r="66" ht="14.25">
      <c r="A66">
        <v>6.4000000000000004</v>
      </c>
      <c r="B66" s="3">
        <f t="shared" si="4"/>
        <v>8.4000000000000004</v>
      </c>
      <c r="C66" s="3">
        <f t="shared" si="5"/>
        <v>8.4000000000000004</v>
      </c>
      <c r="D66">
        <f t="shared" si="6"/>
        <v>0</v>
      </c>
      <c r="E66">
        <f t="shared" si="7"/>
        <v>1.1587883650183561</v>
      </c>
    </row>
    <row r="67" ht="14.25">
      <c r="A67">
        <v>6.5</v>
      </c>
      <c r="B67" s="3">
        <f t="shared" si="4"/>
        <v>8.4000000000000004</v>
      </c>
      <c r="C67" s="3">
        <f t="shared" si="5"/>
        <v>8.4000000000000004</v>
      </c>
      <c r="D67">
        <f t="shared" si="6"/>
        <v>0</v>
      </c>
      <c r="E67">
        <f t="shared" si="7"/>
        <v>1.2017289723651075</v>
      </c>
    </row>
    <row r="68" ht="14.25">
      <c r="A68">
        <v>6.5999999999999996</v>
      </c>
      <c r="B68" s="3">
        <f t="shared" si="4"/>
        <v>8.4000000000000004</v>
      </c>
      <c r="C68" s="3">
        <f t="shared" si="5"/>
        <v>8.4000000000000004</v>
      </c>
      <c r="D68">
        <f t="shared" si="6"/>
        <v>0</v>
      </c>
      <c r="E68">
        <f t="shared" si="7"/>
        <v>1.2460511246256929</v>
      </c>
    </row>
    <row r="69" ht="14.25">
      <c r="A69">
        <v>6.7000000000000002</v>
      </c>
      <c r="B69" s="3">
        <f t="shared" si="4"/>
        <v>8.4000000000000004</v>
      </c>
      <c r="C69" s="3">
        <f t="shared" si="5"/>
        <v>8.4000000000000004</v>
      </c>
      <c r="D69">
        <f t="shared" si="6"/>
        <v>0</v>
      </c>
      <c r="E69">
        <f t="shared" si="7"/>
        <v>1.2917992707836472</v>
      </c>
    </row>
    <row r="70" ht="14.25">
      <c r="A70">
        <v>6.7999999999999998</v>
      </c>
      <c r="B70" s="3">
        <f t="shared" si="4"/>
        <v>8.4000000000000004</v>
      </c>
      <c r="C70" s="3">
        <f t="shared" si="5"/>
        <v>8.4000000000000004</v>
      </c>
      <c r="D70">
        <f t="shared" si="6"/>
        <v>0</v>
      </c>
      <c r="E70">
        <f t="shared" si="7"/>
        <v>1.3390192898969955</v>
      </c>
    </row>
    <row r="71" ht="14.25">
      <c r="A71">
        <v>6.9000000000000004</v>
      </c>
      <c r="B71" s="3">
        <f t="shared" si="4"/>
        <v>8.4000000000000004</v>
      </c>
      <c r="C71" s="3">
        <f t="shared" si="5"/>
        <v>8.4000000000000004</v>
      </c>
      <c r="D71">
        <f t="shared" si="6"/>
        <v>0</v>
      </c>
      <c r="E71">
        <f t="shared" si="7"/>
        <v>1.3877585371085954</v>
      </c>
    </row>
    <row r="72" ht="14.25">
      <c r="A72">
        <v>7</v>
      </c>
      <c r="B72" s="3">
        <f t="shared" si="4"/>
        <v>8.4000000000000004</v>
      </c>
      <c r="C72" s="3">
        <f t="shared" si="5"/>
        <v>8.4000000000000004</v>
      </c>
      <c r="D72">
        <f t="shared" si="6"/>
        <v>0</v>
      </c>
      <c r="E72">
        <f t="shared" si="7"/>
        <v>1.4380658911367934</v>
      </c>
    </row>
    <row r="73" ht="14.25">
      <c r="A73">
        <v>7.0999999999999996</v>
      </c>
      <c r="B73" s="3">
        <f t="shared" si="4"/>
        <v>8.4000000000000004</v>
      </c>
      <c r="C73" s="3">
        <f t="shared" si="5"/>
        <v>8.4000000000000004</v>
      </c>
      <c r="D73">
        <f t="shared" si="6"/>
        <v>0</v>
      </c>
      <c r="E73">
        <f t="shared" si="7"/>
        <v>1.4899918032940098</v>
      </c>
    </row>
    <row r="74" ht="14.25">
      <c r="A74">
        <v>7.2000000000000002</v>
      </c>
      <c r="B74" s="3">
        <f t="shared" ref="B74:B82" si="8">IF(A74&gt;=$F$3,$F$1,$F$2+(($F$1-$F$2)*(IF($F$4=0,A74/$F$3,E74))))</f>
        <v>8.4000000000000004</v>
      </c>
      <c r="C74" s="3">
        <f t="shared" ref="C74:C82" si="9">IF(A74&gt;=$F$3,$F$1,$F$2+(($F$1-$F$2)*(EXP($F$5*(A74/$F$3))-1)/(EXP($F$5))))</f>
        <v>8.4000000000000004</v>
      </c>
      <c r="D74">
        <f t="shared" ref="D74:D82" si="10">B74-C74</f>
        <v>0</v>
      </c>
      <c r="E74">
        <f t="shared" ref="E74:E82" si="11">(EXP($F$4*(A74/$F$3))-1)/(EXP($F$4)-1)</f>
        <v>1.5435883480824262</v>
      </c>
    </row>
    <row r="75" ht="14.25">
      <c r="A75">
        <v>7.2999999999999998</v>
      </c>
      <c r="B75" s="3">
        <f t="shared" si="8"/>
        <v>8.4000000000000004</v>
      </c>
      <c r="C75" s="3">
        <f t="shared" si="9"/>
        <v>8.4000000000000004</v>
      </c>
      <c r="D75">
        <f t="shared" si="10"/>
        <v>0</v>
      </c>
      <c r="E75">
        <f t="shared" si="11"/>
        <v>1.5989092754174978</v>
      </c>
    </row>
    <row r="76" ht="14.25">
      <c r="A76">
        <v>7.4000000000000004</v>
      </c>
      <c r="B76" s="3">
        <f t="shared" si="8"/>
        <v>8.4000000000000004</v>
      </c>
      <c r="C76" s="3">
        <f t="shared" si="9"/>
        <v>8.4000000000000004</v>
      </c>
      <c r="D76">
        <f t="shared" si="10"/>
        <v>0</v>
      </c>
      <c r="E76">
        <f t="shared" si="11"/>
        <v>1.6560100645316813</v>
      </c>
    </row>
    <row r="77" ht="14.25">
      <c r="A77">
        <v>7.5</v>
      </c>
      <c r="B77" s="3">
        <f t="shared" si="8"/>
        <v>8.4000000000000004</v>
      </c>
      <c r="C77" s="3">
        <f t="shared" si="9"/>
        <v>8.4000000000000004</v>
      </c>
      <c r="D77">
        <f t="shared" si="10"/>
        <v>0</v>
      </c>
      <c r="E77">
        <f t="shared" si="11"/>
        <v>1.7149479796124263</v>
      </c>
    </row>
    <row r="78" ht="14.25">
      <c r="A78">
        <v>7.5999999999999996</v>
      </c>
      <c r="B78" s="3">
        <f t="shared" si="8"/>
        <v>8.4000000000000004</v>
      </c>
      <c r="C78" s="3">
        <f t="shared" si="9"/>
        <v>8.4000000000000004</v>
      </c>
      <c r="D78">
        <f t="shared" si="10"/>
        <v>0</v>
      </c>
      <c r="E78">
        <f t="shared" si="11"/>
        <v>1.7757821272302248</v>
      </c>
    </row>
    <row r="79" ht="14.25">
      <c r="A79">
        <v>7.7000000000000002</v>
      </c>
      <c r="B79" s="3">
        <f t="shared" si="8"/>
        <v>8.4000000000000004</v>
      </c>
      <c r="C79" s="3">
        <f t="shared" si="9"/>
        <v>8.4000000000000004</v>
      </c>
      <c r="D79">
        <f t="shared" si="10"/>
        <v>0</v>
      </c>
      <c r="E79">
        <f t="shared" si="11"/>
        <v>1.8385735156143259</v>
      </c>
    </row>
    <row r="80" ht="14.25">
      <c r="A80">
        <v>7.7999999999999998</v>
      </c>
      <c r="B80" s="3">
        <f t="shared" si="8"/>
        <v>8.4000000000000004</v>
      </c>
      <c r="C80" s="3">
        <f t="shared" si="9"/>
        <v>8.4000000000000004</v>
      </c>
      <c r="D80">
        <f t="shared" si="10"/>
        <v>0</v>
      </c>
      <c r="E80">
        <f t="shared" si="11"/>
        <v>1.9033851158355364</v>
      </c>
    </row>
    <row r="81" ht="14.25">
      <c r="A81">
        <v>7.9000000000000004</v>
      </c>
      <c r="B81" s="3">
        <f t="shared" si="8"/>
        <v>8.4000000000000004</v>
      </c>
      <c r="C81" s="3">
        <f t="shared" si="9"/>
        <v>8.4000000000000004</v>
      </c>
      <c r="D81">
        <f t="shared" si="10"/>
        <v>0</v>
      </c>
      <c r="E81">
        <f t="shared" si="11"/>
        <v>1.9702819249574977</v>
      </c>
    </row>
    <row r="82" ht="14.25">
      <c r="A82">
        <v>8</v>
      </c>
      <c r="B82" s="3">
        <f t="shared" si="8"/>
        <v>8.4000000000000004</v>
      </c>
      <c r="C82" s="3">
        <f t="shared" si="9"/>
        <v>8.4000000000000004</v>
      </c>
      <c r="D82">
        <f t="shared" si="10"/>
        <v>0</v>
      </c>
      <c r="E82">
        <f t="shared" si="11"/>
        <v>2.0393310312197364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2026-07-08T00:48:57Z</dcterms:modified>
</cp:coreProperties>
</file>