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charts/style3.xml" ContentType="application/vnd.ms-office.chart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3.xml" ContentType="application/vnd.ms-office.chartcolorstyle+xml"/>
  <Override PartName="/docProps/app.xml" ContentType="application/vnd.openxmlformats-officedocument.extended-properties+xml"/>
  <Override PartName="/xl/charts/chart3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<sst xmlns="http://schemas.openxmlformats.org/spreadsheetml/2006/main" count="14" uniqueCount="14">
  <si>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target_dist</t>
  </si>
  <si>
    <t>quadr_Vel</t>
  </si>
  <si>
    <t>quadr_Kp</t>
  </si>
  <si>
    <t>exp_vel</t>
  </si>
  <si>
    <t>exp_Kp</t>
  </si>
  <si>
    <t>Kp_Indp</t>
  </si>
  <si>
    <t>max_speed</t>
  </si>
  <si>
    <t>min_speed</t>
  </si>
  <si>
    <t>braking_dist</t>
  </si>
  <si>
    <t>Kp_base</t>
  </si>
  <si>
    <t>steering_atten</t>
  </si>
  <si>
    <t>K_Kvel</t>
  </si>
  <si>
    <t>K_Kp</t>
  </si>
  <si>
    <t>´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</si>
</sst>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.000000"/>
      <color theme="1"/>
      <name val="Calibri"/>
      <scheme val="minor"/>
    </font>
    <font>
      <sz val="10.000000"/>
      <name val="Courier New"/>
    </font>
    <font>
      <sz val="11.000000"/>
      <name val="Courier New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2" xfId="0" applyNumberFormat="1"/>
    <xf fontId="0" fillId="0" borderId="0" numFmtId="164" xfId="0" applyNumberFormat="1"/>
    <xf fontId="1" fillId="0" borderId="0" numFmtId="0" xfId="0" applyFont="1" applyAlignment="1">
      <alignment horizontal="left" indent="3"/>
    </xf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Análisis de Velocidad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78900"/>
          <c:y val="0.191040"/>
          <c:w val="0.881170"/>
          <c:h val="0.630990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quadr_Vel</c:v>
                </c:pt>
              </c:strCache>
            </c:strRef>
          </c:tx>
          <c:spPr bwMode="auto">
            <a:prstGeom prst="rect">
              <a:avLst/>
            </a:prstGeom>
            <a:noFill/>
            <a:ln w="22225" cap="rnd">
              <a:solidFill>
                <a:schemeClr val="accent1"/>
              </a:solidFill>
            </a:ln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Hoja1!$A$2:$A$22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Hoja1!$B$2:$B$22</c:f>
              <c:numCache>
                <c:formatCode>General</c:formatCode>
                <c:ptCount val="21"/>
                <c:pt idx="0">
                  <c:v>1</c:v>
                </c:pt>
                <c:pt idx="1">
                  <c:v>1.790569415042095</c:v>
                </c:pt>
                <c:pt idx="2">
                  <c:v>2.118033988749895</c:v>
                </c:pt>
                <c:pt idx="3">
                  <c:v>2.369306393762915</c:v>
                </c:pt>
                <c:pt idx="4">
                  <c:v>2.58113883008419</c:v>
                </c:pt>
                <c:pt idx="5">
                  <c:v>2.767766952966369</c:v>
                </c:pt>
                <c:pt idx="6">
                  <c:v>2.9364916731037085</c:v>
                </c:pt>
                <c:pt idx="7">
                  <c:v>3.091650066335189</c:v>
                </c:pt>
                <c:pt idx="8">
                  <c:v>3.23606797749979</c:v>
                </c:pt>
                <c:pt idx="9">
                  <c:v>3.3717082451262845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Hoja1!$D$1</c:f>
              <c:strCache>
                <c:ptCount val="1"/>
                <c:pt idx="0">
                  <c:v>exp_vel</c:v>
                </c:pt>
              </c:strCache>
            </c:strRef>
          </c:tx>
          <c:spPr bwMode="auto">
            <a:prstGeom prst="rect">
              <a:avLst/>
            </a:prstGeom>
            <a:noFill/>
            <a:ln w="22225" cap="rnd">
              <a:solidFill>
                <a:schemeClr val="accent2"/>
              </a:solidFill>
            </a:ln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Hoja1!$A$2:$A$22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Hoja1!$D$2:$D$22</c:f>
              <c:numCache>
                <c:formatCode>General</c:formatCode>
                <c:ptCount val="21"/>
                <c:pt idx="0">
                  <c:v>2</c:v>
                </c:pt>
                <c:pt idx="1">
                  <c:v>2.1386137512220165</c:v>
                </c:pt>
                <c:pt idx="2">
                  <c:v>2.307916969283515</c:v>
                </c:pt>
                <c:pt idx="3">
                  <c:v>2.514704386789221</c:v>
                </c:pt>
                <c:pt idx="4">
                  <c:v>2.7672751088835104</c:v>
                </c:pt>
                <c:pt idx="5">
                  <c:v>3.0757656854799804</c:v>
                </c:pt>
                <c:pt idx="6">
                  <c:v>3.4525569266013303</c:v>
                </c:pt>
                <c:pt idx="7">
                  <c:v>3.91277078775754</c:v>
                </c:pt>
                <c:pt idx="8">
                  <c:v>4.474877267117277</c:v>
                </c:pt>
                <c:pt idx="9">
                  <c:v>5.161435671386962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1866169505"/>
        <c:axId val="1866169506"/>
      </c:scatterChart>
      <c:valAx>
        <c:axId val="1866169505"/>
        <c:scaling>
          <c:orientation val="minMax"/>
          <c:max val="1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Distancia del obstaculo [m]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6"/>
        <c:crosses val="autoZero"/>
        <c:crossBetween val="between"/>
      </c:valAx>
      <c:valAx>
        <c:axId val="186616950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 flipH="0" flipV="0">
      <a:off x="4769642" y="2088355"/>
      <a:ext cx="4841080" cy="2688431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Analisis de Kp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quadr_Kp</c:v>
                </c:pt>
              </c:strCache>
            </c:strRef>
          </c:tx>
          <c:spPr bwMode="auto">
            <a:prstGeom prst="rect">
              <a:avLst/>
            </a:prstGeom>
            <a:noFill/>
            <a:ln w="22225" cap="rnd">
              <a:solidFill>
                <a:schemeClr val="accent1"/>
              </a:solidFill>
            </a:ln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Hoja1!$A$2:$A$22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Hoja1!$C$2:$C$22</c:f>
              <c:numCache>
                <c:formatCode>General</c:formatCode>
                <c:ptCount val="21"/>
                <c:pt idx="0">
                  <c:v>1.7428571428571429</c:v>
                </c:pt>
                <c:pt idx="1">
                  <c:v>1.5395678647034612</c:v>
                </c:pt>
                <c:pt idx="2">
                  <c:v>1.45536268860717</c:v>
                </c:pt>
                <c:pt idx="3">
                  <c:v>1.3907497844609646</c:v>
                </c:pt>
                <c:pt idx="4">
                  <c:v>1.3362785865497797</c:v>
                </c:pt>
                <c:pt idx="5">
                  <c:v>1.288288497808648</c:v>
                </c:pt>
                <c:pt idx="6">
                  <c:v>1.2449021412019035</c:v>
                </c:pt>
                <c:pt idx="7">
                  <c:v>1.2050042686566655</c:v>
                </c:pt>
                <c:pt idx="8">
                  <c:v>1.1678682343571969</c:v>
                </c:pt>
                <c:pt idx="9">
                  <c:v>1.1329893083960982</c:v>
                </c:pt>
                <c:pt idx="10">
                  <c:v>1.1</c:v>
                </c:pt>
                <c:pt idx="11">
                  <c:v>1.1</c:v>
                </c:pt>
                <c:pt idx="12">
                  <c:v>1.1</c:v>
                </c:pt>
                <c:pt idx="13">
                  <c:v>1.1</c:v>
                </c:pt>
                <c:pt idx="14">
                  <c:v>1.1</c:v>
                </c:pt>
                <c:pt idx="15">
                  <c:v>1.1</c:v>
                </c:pt>
                <c:pt idx="16">
                  <c:v>1.1</c:v>
                </c:pt>
                <c:pt idx="17">
                  <c:v>1.1</c:v>
                </c:pt>
                <c:pt idx="18">
                  <c:v>1.1</c:v>
                </c:pt>
                <c:pt idx="19">
                  <c:v>1.1</c:v>
                </c:pt>
                <c:pt idx="20">
                  <c:v>1.1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exp_Kp</c:v>
                </c:pt>
              </c:strCache>
            </c:strRef>
          </c:tx>
          <c:spPr bwMode="auto">
            <a:prstGeom prst="rect">
              <a:avLst/>
            </a:prstGeom>
            <a:noFill/>
            <a:ln w="22225" cap="rnd">
              <a:solidFill>
                <a:schemeClr val="accent2"/>
              </a:solidFill>
            </a:ln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Hoja1!$A$2:$A$22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Hoja1!$E$2:$E$22</c:f>
              <c:numCache>
                <c:formatCode>General</c:formatCode>
                <c:ptCount val="21"/>
                <c:pt idx="0">
                  <c:v>2.3333333333333335</c:v>
                </c:pt>
                <c:pt idx="1">
                  <c:v>2.321782187398165</c:v>
                </c:pt>
                <c:pt idx="2">
                  <c:v>2.30767358589304</c:v>
                </c:pt>
                <c:pt idx="3">
                  <c:v>2.2904413011008984</c:v>
                </c:pt>
                <c:pt idx="4">
                  <c:v>2.2693937409263745</c:v>
                </c:pt>
                <c:pt idx="5">
                  <c:v>2.2436861928766683</c:v>
                </c:pt>
                <c:pt idx="6">
                  <c:v>2.2122869227832225</c:v>
                </c:pt>
                <c:pt idx="7">
                  <c:v>2.1739357676868716</c:v>
                </c:pt>
                <c:pt idx="8">
                  <c:v>2.1270935610735604</c:v>
                </c:pt>
                <c:pt idx="9">
                  <c:v>2.0698803607177534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Hoja1!$F$1</c:f>
              <c:strCache>
                <c:ptCount val="1"/>
                <c:pt idx="0">
                  <c:v>Kp_Indp</c:v>
                </c:pt>
              </c:strCache>
            </c:strRef>
          </c:tx>
          <c:spPr bwMode="auto">
            <a:prstGeom prst="rect">
              <a:avLst/>
            </a:prstGeom>
            <a:noFill/>
            <a:ln w="22225" cap="rnd">
              <a:solidFill>
                <a:schemeClr val="accent3"/>
              </a:solidFill>
            </a:ln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Hoja1!$A$2:$A$22</c:f>
            </c:numRef>
          </c:xVal>
          <c:yVal>
            <c:numRef>
              <c:f>Hoja1!$F$2:$F$22</c:f>
              <c:numCache>
                <c:formatCode>General</c:formatCode>
                <c:ptCount val="21"/>
                <c:pt idx="0">
                  <c:v>2.5</c:v>
                </c:pt>
                <c:pt idx="1">
                  <c:v>2.499794369428391</c:v>
                </c:pt>
                <c:pt idx="2">
                  <c:v>2.4993367301751257</c:v>
                </c:pt>
                <c:pt idx="3">
                  <c:v>2.4983182352864994</c:v>
                </c:pt>
                <c:pt idx="4">
                  <c:v>2.4960515332264013</c:v>
                </c:pt>
                <c:pt idx="5">
                  <c:v>2.491006895018954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1866169497"/>
        <c:axId val="1866169498"/>
      </c:scatterChart>
      <c:valAx>
        <c:axId val="186616949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Distancia del Obstaculo [m]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8"/>
        <c:crosses val="autoZero"/>
        <c:crossBetween val="between"/>
      </c:valAx>
      <c:valAx>
        <c:axId val="186616949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 flipH="0" flipV="0">
      <a:off x="9610723" y="2088355"/>
      <a:ext cx="4536281" cy="2688431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1" cap="none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Análisis Dinámico de la Velocidad y Kp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exp_vel</c:v>
                </c:pt>
              </c:strCache>
            </c:strRef>
          </c:tx>
          <c:spPr bwMode="auto">
            <a:prstGeom prst="rect">
              <a:avLst/>
            </a:prstGeom>
            <a:noFill/>
            <a:ln w="22225" cap="rnd">
              <a:solidFill>
                <a:schemeClr val="accent1"/>
              </a:solidFill>
            </a:ln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Hoja1!$A$2:$A$22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Hoja1!$D$2:$D$22</c:f>
              <c:numCache>
                <c:formatCode>General</c:formatCode>
                <c:ptCount val="21"/>
                <c:pt idx="0">
                  <c:v>2</c:v>
                </c:pt>
                <c:pt idx="1">
                  <c:v>2.1386137512220165</c:v>
                </c:pt>
                <c:pt idx="2">
                  <c:v>2.307916969283515</c:v>
                </c:pt>
                <c:pt idx="3">
                  <c:v>2.514704386789221</c:v>
                </c:pt>
                <c:pt idx="4">
                  <c:v>2.7672751088835104</c:v>
                </c:pt>
                <c:pt idx="5">
                  <c:v>3.0757656854799804</c:v>
                </c:pt>
                <c:pt idx="6">
                  <c:v>3.4525569266013303</c:v>
                </c:pt>
                <c:pt idx="7">
                  <c:v>3.91277078775754</c:v>
                </c:pt>
                <c:pt idx="8">
                  <c:v>4.474877267117277</c:v>
                </c:pt>
                <c:pt idx="9">
                  <c:v>5.161435671386962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Hoja1!$F$1</c:f>
              <c:strCache>
                <c:ptCount val="1"/>
                <c:pt idx="0">
                  <c:v>Kp_Indp</c:v>
                </c:pt>
              </c:strCache>
            </c:strRef>
          </c:tx>
          <c:spPr bwMode="auto">
            <a:prstGeom prst="rect">
              <a:avLst/>
            </a:prstGeom>
            <a:noFill/>
            <a:ln w="22225" cap="rnd">
              <a:solidFill>
                <a:schemeClr val="accent2"/>
              </a:solidFill>
            </a:ln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Hoja1!$A$2:$A$22</c:f>
            </c:numRef>
          </c:xVal>
          <c:yVal>
            <c:numRef>
              <c:f>Hoja1!$F$2:$F$22</c:f>
              <c:numCache>
                <c:formatCode>General</c:formatCode>
                <c:ptCount val="21"/>
                <c:pt idx="0">
                  <c:v>2.5</c:v>
                </c:pt>
                <c:pt idx="1">
                  <c:v>2.499794369428391</c:v>
                </c:pt>
                <c:pt idx="2">
                  <c:v>2.4993367301751257</c:v>
                </c:pt>
                <c:pt idx="3">
                  <c:v>2.4983182352864994</c:v>
                </c:pt>
                <c:pt idx="4">
                  <c:v>2.4960515332264013</c:v>
                </c:pt>
                <c:pt idx="5">
                  <c:v>2.491006895018954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2140841469"/>
        <c:axId val="2140841470"/>
      </c:scatterChart>
      <c:valAx>
        <c:axId val="214084146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Distancia del Obstaculo [m]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0"/>
        <c:crosses val="autoZero"/>
      </c:valAx>
      <c:valAx>
        <c:axId val="214084147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6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 flipH="0" flipV="0">
      <a:off x="7286624" y="4900612"/>
      <a:ext cx="4552949" cy="2724149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round/>
      </a:ln>
    </cs:spPr>
    <cs:defRPr sz="900"/>
    <cs:bodyPr/>
  </cs:valueAxis>
  <cs:wall>
    <cs:lnRef idx="0"/>
    <cs:fillRef idx="0"/>
    <cs:effectRef idx="0"/>
    <cs:fontRef idx="minor">
      <a:schemeClr val="dk1"/>
    </cs:fontRef>
  </cs:wall>
  <cs:dataPointMarkerLayout symbol="circle" size="3"/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round/>
      </a:ln>
    </cs:spPr>
    <cs:defRPr sz="900"/>
    <cs:bodyPr/>
  </cs:valueAxis>
  <cs:wall>
    <cs:lnRef idx="0"/>
    <cs:fillRef idx="0"/>
    <cs:effectRef idx="0"/>
    <cs:fontRef idx="minor">
      <a:schemeClr val="dk1"/>
    </cs:fontRef>
  </cs:wall>
  <cs:dataPointMarkerLayout symbol="circle" size="3"/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round/>
      </a:ln>
    </cs:spPr>
    <cs:defRPr sz="900"/>
    <cs:bodyPr/>
  </cs:valueAxis>
  <cs:wall>
    <cs:lnRef idx="0"/>
    <cs:fillRef idx="0"/>
    <cs:effectRef idx="0"/>
    <cs:fontRef idx="minor">
      <a:schemeClr val="dk1"/>
    </cs:fontRef>
  </cs:wall>
  <cs:dataPointMarkerLayout symbol="circle" size="3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6</xdr:col>
      <xdr:colOff>245267</xdr:colOff>
      <xdr:row>11</xdr:row>
      <xdr:rowOff>123824</xdr:rowOff>
    </xdr:from>
    <xdr:to>
      <xdr:col>13</xdr:col>
      <xdr:colOff>264317</xdr:colOff>
      <xdr:row>26</xdr:row>
      <xdr:rowOff>133349</xdr:rowOff>
    </xdr:to>
    <xdr:graphicFrame>
      <xdr:nvGraphicFramePr>
        <xdr:cNvPr id="1714093614" name=""/>
        <xdr:cNvGraphicFramePr>
          <a:graphicFrameLocks xmlns:a="http://schemas.openxmlformats.org/drawingml/2006/main"/>
        </xdr:cNvGraphicFramePr>
      </xdr:nvGraphicFramePr>
      <xdr:xfrm rot="0" flipH="0" flipV="0">
        <a:off x="4769642" y="2088355"/>
        <a:ext cx="4841080" cy="268843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13</xdr:col>
      <xdr:colOff>264317</xdr:colOff>
      <xdr:row>11</xdr:row>
      <xdr:rowOff>123824</xdr:rowOff>
    </xdr:from>
    <xdr:to>
      <xdr:col>20</xdr:col>
      <xdr:colOff>550067</xdr:colOff>
      <xdr:row>26</xdr:row>
      <xdr:rowOff>133349</xdr:rowOff>
    </xdr:to>
    <xdr:graphicFrame>
      <xdr:nvGraphicFramePr>
        <xdr:cNvPr id="225495899" name=""/>
        <xdr:cNvGraphicFramePr>
          <a:graphicFrameLocks xmlns:a="http://schemas.openxmlformats.org/drawingml/2006/main"/>
        </xdr:cNvGraphicFramePr>
      </xdr:nvGraphicFramePr>
      <xdr:xfrm rot="0" flipH="0" flipV="0">
        <a:off x="9610723" y="2088355"/>
        <a:ext cx="4536281" cy="268843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9</xdr:col>
      <xdr:colOff>657224</xdr:colOff>
      <xdr:row>27</xdr:row>
      <xdr:rowOff>14287</xdr:rowOff>
    </xdr:from>
    <xdr:to>
      <xdr:col>17</xdr:col>
      <xdr:colOff>38099</xdr:colOff>
      <xdr:row>42</xdr:row>
      <xdr:rowOff>23812</xdr:rowOff>
    </xdr:to>
    <xdr:graphicFrame>
      <xdr:nvGraphicFramePr>
        <xdr:cNvPr id="1141608743" name=""/>
        <xdr:cNvGraphicFramePr>
          <a:graphicFrameLocks xmlns:a="http://schemas.openxmlformats.org/drawingml/2006/main"/>
        </xdr:cNvGraphicFramePr>
      </xdr:nvGraphicFramePr>
      <xdr:xfrm rot="0" flipH="0" flipV="0">
        <a:off x="7286624" y="4900612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23" zoomScale="100" workbookViewId="0">
      <selection activeCell="A1" activeCellId="0" sqref="A1"/>
    </sheetView>
  </sheetViews>
  <sheetFormatPr defaultRowHeight="14.25"/>
  <cols>
    <col bestFit="1" min="1" max="1" width="10.00390625"/>
    <col customWidth="1" min="2" max="2" width="17.8515625"/>
    <col bestFit="1" min="3" max="3" width="12.7109375"/>
    <col bestFit="1" min="7" max="7" width="13.140625"/>
    <col bestFit="1" min="10" max="10" width="13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>
        <v>6</v>
      </c>
      <c r="J1" t="s">
        <v>6</v>
      </c>
    </row>
    <row r="2" ht="14.25">
      <c r="A2" s="2">
        <v>0</v>
      </c>
      <c r="B2" s="3">
        <f t="shared" ref="B2:B9" si="0">IF(A2&gt;=$I$3,$I$1,$I$2+($I$1-$I$2)*SQRT(A2/$I$3))</f>
        <v>2</v>
      </c>
      <c r="C2" s="4">
        <f t="shared" ref="C2:C9" si="1">$I$4*(1-($I$5*(B2/$I$1)))</f>
        <v>2.3333333333333335</v>
      </c>
      <c r="D2" s="5">
        <f>IF(A2&gt;=$I$3,$I$1,$I$2+($I$1-$I$2)*(EXP($I$6*(A2/$I$3))-1)/(EXP($I$6)-1))</f>
        <v>2</v>
      </c>
      <c r="E2" s="4">
        <f t="shared" ref="E2:E9" si="2">$I$4*(1-($I$5*(D2/$I$1)))</f>
        <v>2.3333333333333335</v>
      </c>
      <c r="F2">
        <f>IF(A2&gt;=$H$3,$I$4*(1-$I$5),$I$4*(1-($I$5*(EXP($I$7*(A2/$I$3))-1)/(EXP($I$7)-1))))</f>
        <v>2.5</v>
      </c>
      <c r="I2" s="1">
        <v>2</v>
      </c>
      <c r="J2" t="s">
        <v>7</v>
      </c>
    </row>
    <row r="3" ht="14.25">
      <c r="A3" s="2">
        <v>0.5</v>
      </c>
      <c r="B3" s="3">
        <f t="shared" si="0"/>
        <v>3.264911064067352</v>
      </c>
      <c r="C3" s="4">
        <f t="shared" si="1"/>
        <v>2.2279240779943872</v>
      </c>
      <c r="D3" s="5">
        <f>IF(A3&gt;=$I$3,$I$1,$I$2+($I$1-$I$2)*(EXP($I$6*(A3/$I$3))-1)/(EXP($I$6)-1))</f>
        <v>2.1386137512220165</v>
      </c>
      <c r="E3" s="4">
        <f t="shared" si="2"/>
        <v>2.3217821873981652</v>
      </c>
      <c r="F3">
        <f>IF(A3&gt;=$H$3,$I$4*(1-$I$5),$I$4*(1-($I$5*(EXP($I$7*(A3/$I$3))-1)/(EXP($I$7)-1))))</f>
        <v>2.4997943694283911</v>
      </c>
      <c r="H3" s="1">
        <v>2.7999999999999998</v>
      </c>
      <c r="I3" s="1">
        <v>5</v>
      </c>
      <c r="J3" t="s">
        <v>8</v>
      </c>
    </row>
    <row r="4" ht="14.25">
      <c r="A4" s="2">
        <v>1</v>
      </c>
      <c r="B4" s="3">
        <f t="shared" si="0"/>
        <v>3.7888543819998315</v>
      </c>
      <c r="C4" s="4">
        <f t="shared" si="1"/>
        <v>2.1842621348333475</v>
      </c>
      <c r="D4" s="5">
        <f>IF(A4&gt;=$I$3,$I$1,$I$2+($I$1-$I$2)*(EXP($I$6*(A4/$I$3))-1)/(EXP($I$6)-1))</f>
        <v>2.3079169692835149</v>
      </c>
      <c r="E4" s="4">
        <f t="shared" si="2"/>
        <v>2.3076735858930402</v>
      </c>
      <c r="F4">
        <f>IF(A4&gt;=$H$3,$I$4*(1-$I$5),$I$4*(1-($I$5*(EXP($I$7*(A4/$I$3))-1)/(EXP($I$7)-1))))</f>
        <v>2.4993367301751257</v>
      </c>
      <c r="I4" s="1">
        <v>2.5</v>
      </c>
      <c r="J4" t="s">
        <v>9</v>
      </c>
    </row>
    <row r="5" ht="14.25">
      <c r="A5" s="2">
        <v>1.5</v>
      </c>
      <c r="B5" s="3">
        <f t="shared" si="0"/>
        <v>4.1908902300206643</v>
      </c>
      <c r="C5" s="4">
        <f t="shared" si="1"/>
        <v>2.1507591474982779</v>
      </c>
      <c r="D5" s="5">
        <f>IF(A5&gt;=$I$3,$I$1,$I$2+($I$1-$I$2)*(EXP($I$6*(A5/$I$3))-1)/(EXP($I$6)-1))</f>
        <v>2.5147043867892211</v>
      </c>
      <c r="E5" s="4">
        <f t="shared" si="2"/>
        <v>2.2904413011008984</v>
      </c>
      <c r="F5">
        <f>IF(A5&gt;=$H$3,$I$4*(1-$I$5),$I$4*(1-($I$5*(EXP($I$7*(A5/$I$3))-1)/(EXP($I$7)-1))))</f>
        <v>2.4983182352864994</v>
      </c>
      <c r="I5" s="1">
        <v>0.20000000000000001</v>
      </c>
      <c r="J5" t="s">
        <v>10</v>
      </c>
    </row>
    <row r="6" ht="14.25">
      <c r="A6" s="2">
        <v>2</v>
      </c>
      <c r="B6" s="3">
        <f t="shared" si="0"/>
        <v>4.529822128134704</v>
      </c>
      <c r="C6" s="4">
        <f t="shared" si="1"/>
        <v>2.1225148226554413</v>
      </c>
      <c r="D6" s="5">
        <f>IF(A6&gt;=$I$3,$I$1,$I$2+($I$1-$I$2)*(EXP($I$6*(A6/$I$3))-1)/(EXP($I$6)-1))</f>
        <v>2.7672751088835104</v>
      </c>
      <c r="E6" s="4">
        <f t="shared" si="2"/>
        <v>2.2693937409263745</v>
      </c>
      <c r="F6">
        <f>IF(A6&gt;=$H$3,$I$4*(1-$I$5),$I$4*(1-($I$5*(EXP($I$7*(A6/$I$3))-1)/(EXP($I$7)-1))))</f>
        <v>2.4960515332264013</v>
      </c>
      <c r="I6" s="1">
        <v>2</v>
      </c>
      <c r="J6" t="s">
        <v>11</v>
      </c>
    </row>
    <row r="7" ht="14.25">
      <c r="A7" s="2">
        <v>2.5</v>
      </c>
      <c r="B7" s="3">
        <f t="shared" si="0"/>
        <v>4.8284271247461898</v>
      </c>
      <c r="C7" s="4">
        <f t="shared" si="1"/>
        <v>2.0976310729378174</v>
      </c>
      <c r="D7" s="5">
        <f>IF(A7&gt;=$I$3,$I$1,$I$2+($I$1-$I$2)*(EXP($I$6*(A7/$I$3))-1)/(EXP($I$6)-1))</f>
        <v>3.0757656854799804</v>
      </c>
      <c r="E7" s="4">
        <f t="shared" si="2"/>
        <v>2.2436861928766683</v>
      </c>
      <c r="F7">
        <f>IF(A7&gt;=$H$3,$I$4*(1-$I$5),$I$4*(1-($I$5*(EXP($I$7*(A7/$I$3))-1)/(EXP($I$7)-1))))</f>
        <v>2.4910068950189541</v>
      </c>
      <c r="I7" s="1">
        <v>8</v>
      </c>
      <c r="J7" t="s">
        <v>12</v>
      </c>
    </row>
    <row r="8" ht="14.25">
      <c r="A8" s="2">
        <v>3</v>
      </c>
      <c r="B8" s="3">
        <f t="shared" si="0"/>
        <v>5.0983866769659336</v>
      </c>
      <c r="C8" s="4">
        <f t="shared" si="1"/>
        <v>2.0751344435861721</v>
      </c>
      <c r="D8" s="5">
        <f>IF(A8&gt;=$I$3,$I$1,$I$2+($I$1-$I$2)*(EXP($I$6*(A8/$I$3))-1)/(EXP($I$6)-1))</f>
        <v>3.4525569266013303</v>
      </c>
      <c r="E8" s="4">
        <f t="shared" si="2"/>
        <v>2.2122869227832225</v>
      </c>
      <c r="F8">
        <f>IF(A8&gt;=$H$3,$I$4*(1-$I$5),$I$4*(1-($I$5*(EXP($I$7*(A8/$I$3))-1)/(EXP($I$7)-1))))</f>
        <v>2</v>
      </c>
    </row>
    <row r="9" ht="14.25">
      <c r="A9" s="2">
        <v>3.5</v>
      </c>
      <c r="B9" s="3">
        <f t="shared" si="0"/>
        <v>5.3466401061363023</v>
      </c>
      <c r="C9" s="4">
        <f t="shared" si="1"/>
        <v>2.0544466578219747</v>
      </c>
      <c r="D9" s="5">
        <f>IF(A9&gt;=$I$3,$I$1,$I$2+($I$1-$I$2)*(EXP($I$6*(A9/$I$3))-1)/(EXP($I$6)-1))</f>
        <v>3.9127707877575402</v>
      </c>
      <c r="E9" s="4">
        <f t="shared" si="2"/>
        <v>2.1739357676868716</v>
      </c>
      <c r="F9">
        <f>IF(A9&gt;=$H$3,$I$4*(1-$I$5),$I$4*(1-($I$5*(EXP($I$7*(A9/$I$3))-1)/(EXP($I$7)-1))))</f>
        <v>2</v>
      </c>
    </row>
    <row r="10" ht="14.25">
      <c r="A10" s="2">
        <v>4</v>
      </c>
      <c r="B10" s="3">
        <f t="shared" ref="B10:B22" si="3">IF(A10&gt;=$I$3,$I$1,$I$2+($I$1-$I$2)*SQRT(A10/$I$3))</f>
        <v>5.577708763999663</v>
      </c>
      <c r="C10" s="4">
        <f t="shared" ref="C10:C22" si="4">$I$4*(1-($I$5*(B10/$I$1)))</f>
        <v>2.0351909363333616</v>
      </c>
      <c r="D10" s="5">
        <f>IF(A10&gt;=$I$3,$I$1,$I$2+($I$1-$I$2)*(EXP($I$6*(A10/$I$3))-1)/(EXP($I$6)-1))</f>
        <v>4.474877267117277</v>
      </c>
      <c r="E10" s="4">
        <f t="shared" ref="E10:E22" si="5">$I$4*(1-($I$5*(D10/$I$1)))</f>
        <v>2.1270935610735604</v>
      </c>
      <c r="F10">
        <f>IF(A10&gt;=$H$3,$I$4*(1-$I$5),$I$4*(1-($I$5*(EXP($I$7*(A10/$I$3))-1)/(EXP($I$7)-1))))</f>
        <v>2</v>
      </c>
    </row>
    <row r="11" ht="14.25">
      <c r="A11" s="2">
        <v>4.5</v>
      </c>
      <c r="B11" s="3">
        <f t="shared" si="3"/>
        <v>5.7947331922020551</v>
      </c>
      <c r="C11" s="4">
        <f t="shared" si="4"/>
        <v>2.0171055673164955</v>
      </c>
      <c r="D11" s="5">
        <f>IF(A11&gt;=$I$3,$I$1,$I$2+($I$1-$I$2)*(EXP($I$6*(A11/$I$3))-1)/(EXP($I$6)-1))</f>
        <v>5.161435671386962</v>
      </c>
      <c r="E11" s="4">
        <f t="shared" si="5"/>
        <v>2.0698803607177534</v>
      </c>
      <c r="F11">
        <f>IF(A11&gt;=$H$3,$I$4*(1-$I$5),$I$4*(1-($I$5*(EXP($I$7*(A11/$I$3))-1)/(EXP($I$7)-1))))</f>
        <v>2</v>
      </c>
    </row>
    <row r="12" ht="14.25">
      <c r="A12" s="2">
        <v>5</v>
      </c>
      <c r="B12" s="3">
        <f t="shared" si="3"/>
        <v>6</v>
      </c>
      <c r="C12" s="4">
        <f t="shared" si="4"/>
        <v>2</v>
      </c>
      <c r="D12" s="5">
        <f>IF(A12&gt;=$I$3,$I$1,$I$2+($I$1-$I$2)*(EXP($I$6*(A12/$I$3))-1)/(EXP($I$6)-1))</f>
        <v>6</v>
      </c>
      <c r="E12" s="4">
        <f t="shared" si="5"/>
        <v>2</v>
      </c>
      <c r="F12">
        <f>IF(A12&gt;=$H$3,$I$4*(1-$I$5),$I$4*(1-($I$5*(EXP($I$7*(A12/$I$3))-1)/(EXP($I$7)-1))))</f>
        <v>2</v>
      </c>
    </row>
    <row r="13" ht="14.25">
      <c r="A13" s="2">
        <v>5.5</v>
      </c>
      <c r="B13" s="3">
        <f t="shared" si="3"/>
        <v>6</v>
      </c>
      <c r="C13" s="4">
        <f t="shared" si="4"/>
        <v>2</v>
      </c>
      <c r="D13" s="5">
        <f>IF(A13&gt;=$I$3,$I$1,$I$2+($I$1-$I$2)*(EXP($I$6*(A13/$I$3))-1)/(EXP($I$6)-1))</f>
        <v>6</v>
      </c>
      <c r="E13" s="4">
        <f t="shared" si="5"/>
        <v>2</v>
      </c>
      <c r="F13">
        <f>IF(A13&gt;=$H$3,$I$4*(1-$I$5),$I$4*(1-($I$5*(EXP($I$7*(A13/$I$3))-1)/(EXP($I$7)-1))))</f>
        <v>2</v>
      </c>
    </row>
    <row r="14" ht="14.25">
      <c r="A14" s="2">
        <v>6</v>
      </c>
      <c r="B14" s="3">
        <f t="shared" si="3"/>
        <v>6</v>
      </c>
      <c r="C14" s="4">
        <f t="shared" si="4"/>
        <v>2</v>
      </c>
      <c r="D14" s="5">
        <f>IF(A14&gt;=$I$3,$I$1,$I$2+($I$1-$I$2)*(EXP($I$6*(A14/$I$3))-1)/(EXP($I$6)-1))</f>
        <v>6</v>
      </c>
      <c r="E14" s="4">
        <f t="shared" si="5"/>
        <v>2</v>
      </c>
      <c r="F14">
        <f>IF(A14&gt;=$H$3,$I$4*(1-$I$5),$I$4*(1-($I$5*(EXP($I$7*(A14/$I$3))-1)/(EXP($I$7)-1))))</f>
        <v>2</v>
      </c>
    </row>
    <row r="15" ht="14.25">
      <c r="A15" s="2">
        <v>6.5</v>
      </c>
      <c r="B15" s="3">
        <f t="shared" si="3"/>
        <v>6</v>
      </c>
      <c r="C15" s="4">
        <f t="shared" si="4"/>
        <v>2</v>
      </c>
      <c r="D15" s="5">
        <f>IF(A15&gt;=$I$3,$I$1,$I$2+($I$1-$I$2)*(EXP($I$6*(A15/$I$3))-1)/(EXP($I$6)-1))</f>
        <v>6</v>
      </c>
      <c r="E15" s="4">
        <f t="shared" si="5"/>
        <v>2</v>
      </c>
      <c r="F15">
        <f>IF(A15&gt;=$H$3,$I$4*(1-$I$5),$I$4*(1-($I$5*(EXP($I$7*(A15/$I$3))-1)/(EXP($I$7)-1))))</f>
        <v>2</v>
      </c>
    </row>
    <row r="16" ht="14.25">
      <c r="A16" s="2">
        <v>7</v>
      </c>
      <c r="B16" s="3">
        <f t="shared" si="3"/>
        <v>6</v>
      </c>
      <c r="C16" s="4">
        <f t="shared" si="4"/>
        <v>2</v>
      </c>
      <c r="D16" s="5">
        <f>IF(A16&gt;=$I$3,$I$1,$I$2+($I$1-$I$2)*(EXP($I$6*(A16/$I$3))-1)/(EXP($I$6)-1))</f>
        <v>6</v>
      </c>
      <c r="E16" s="4">
        <f t="shared" si="5"/>
        <v>2</v>
      </c>
      <c r="F16">
        <f>IF(A16&gt;=$H$3,$I$4*(1-$I$5),$I$4*(1-($I$5*(EXP($I$7*(A16/$I$3))-1)/(EXP($I$7)-1))))</f>
        <v>2</v>
      </c>
    </row>
    <row r="17" ht="14.25">
      <c r="A17" s="2">
        <v>7.5</v>
      </c>
      <c r="B17" s="3">
        <f t="shared" si="3"/>
        <v>6</v>
      </c>
      <c r="C17" s="4">
        <f t="shared" si="4"/>
        <v>2</v>
      </c>
      <c r="D17" s="5">
        <f>IF(A17&gt;=$I$3,$I$1,$I$2+($I$1-$I$2)*(EXP($I$6*(A17/$I$3))-1)/(EXP($I$6)-1))</f>
        <v>6</v>
      </c>
      <c r="E17" s="4">
        <f t="shared" si="5"/>
        <v>2</v>
      </c>
      <c r="F17">
        <f>IF(A17&gt;=$H$3,$I$4*(1-$I$5),$I$4*(1-($I$5*(EXP($I$7*(A17/$I$3))-1)/(EXP($I$7)-1))))</f>
        <v>2</v>
      </c>
    </row>
    <row r="18" ht="14.25">
      <c r="A18" s="2">
        <v>8</v>
      </c>
      <c r="B18" s="3">
        <f t="shared" si="3"/>
        <v>6</v>
      </c>
      <c r="C18" s="4">
        <f t="shared" si="4"/>
        <v>2</v>
      </c>
      <c r="D18" s="5">
        <f>IF(A18&gt;=$I$3,$I$1,$I$2+($I$1-$I$2)*(EXP($I$6*(A18/$I$3))-1)/(EXP($I$6)-1))</f>
        <v>6</v>
      </c>
      <c r="E18" s="4">
        <f t="shared" si="5"/>
        <v>2</v>
      </c>
      <c r="F18">
        <f>IF(A18&gt;=$H$3,$I$4*(1-$I$5),$I$4*(1-($I$5*(EXP($I$7*(A18/$I$3))-1)/(EXP($I$7)-1))))</f>
        <v>2</v>
      </c>
    </row>
    <row r="19" ht="14.25">
      <c r="A19" s="2">
        <v>8.5</v>
      </c>
      <c r="B19" s="3">
        <f t="shared" si="3"/>
        <v>6</v>
      </c>
      <c r="C19" s="4">
        <f t="shared" si="4"/>
        <v>2</v>
      </c>
      <c r="D19" s="5">
        <f>IF(A19&gt;=$I$3,$I$1,$I$2+($I$1-$I$2)*(EXP($I$6*(A19/$I$3))-1)/(EXP($I$6)-1))</f>
        <v>6</v>
      </c>
      <c r="E19" s="4">
        <f t="shared" si="5"/>
        <v>2</v>
      </c>
      <c r="F19">
        <f>IF(A19&gt;=$H$3,$I$4*(1-$I$5),$I$4*(1-($I$5*(EXP($I$7*(A19/$I$3))-1)/(EXP($I$7)-1))))</f>
        <v>2</v>
      </c>
    </row>
    <row r="20" ht="14.25">
      <c r="A20" s="2">
        <v>9</v>
      </c>
      <c r="B20" s="3">
        <f t="shared" si="3"/>
        <v>6</v>
      </c>
      <c r="C20" s="4">
        <f t="shared" si="4"/>
        <v>2</v>
      </c>
      <c r="D20" s="5">
        <f>IF(A20&gt;=$I$3,$I$1,$I$2+($I$1-$I$2)*(EXP($I$6*(A20/$I$3))-1)/(EXP($I$6)-1))</f>
        <v>6</v>
      </c>
      <c r="E20" s="4">
        <f t="shared" si="5"/>
        <v>2</v>
      </c>
      <c r="F20">
        <f>IF(A20&gt;=$H$3,$I$4*(1-$I$5),$I$4*(1-($I$5*(EXP($I$7*(A20/$I$3))-1)/(EXP($I$7)-1))))</f>
        <v>2</v>
      </c>
    </row>
    <row r="21" ht="14.25">
      <c r="A21" s="2">
        <v>9.5</v>
      </c>
      <c r="B21" s="3">
        <f t="shared" si="3"/>
        <v>6</v>
      </c>
      <c r="C21" s="4">
        <f t="shared" si="4"/>
        <v>2</v>
      </c>
      <c r="D21" s="5">
        <f>IF(A21&gt;=$I$3,$I$1,$I$2+($I$1-$I$2)*(EXP($I$6*(A21/$I$3))-1)/(EXP($I$6)-1))</f>
        <v>6</v>
      </c>
      <c r="E21" s="4">
        <f t="shared" si="5"/>
        <v>2</v>
      </c>
      <c r="F21">
        <f>IF(A21&gt;=$H$3,$I$4*(1-$I$5),$I$4*(1-($I$5*(EXP($I$7*(A21/$I$3))-1)/(EXP($I$7)-1))))</f>
        <v>2</v>
      </c>
    </row>
    <row r="22" ht="14.25">
      <c r="A22" s="2">
        <v>10</v>
      </c>
      <c r="B22" s="3">
        <f t="shared" si="3"/>
        <v>6</v>
      </c>
      <c r="C22" s="4">
        <f t="shared" si="4"/>
        <v>2</v>
      </c>
      <c r="D22" s="5">
        <f>IF(A22&gt;=$I$3,$I$1,$I$2+($I$1-$I$2)*(EXP($I$6*(A22/$I$3))-1)/(EXP($I$6)-1))</f>
        <v>6</v>
      </c>
      <c r="E22" s="4">
        <f t="shared" si="5"/>
        <v>2</v>
      </c>
      <c r="F22">
        <f>IF(A22&gt;=$H$3,$I$4*(1-$I$5),$I$4*(1-($I$5*(EXP($I$7*(A22/$I$3))-1)/(EXP($I$7)-1))))</f>
        <v>2</v>
      </c>
    </row>
    <row r="23" ht="14.25">
      <c r="A23" s="2"/>
      <c r="B23" s="3"/>
    </row>
    <row r="24" ht="14.25">
      <c r="A24" s="2"/>
      <c r="B24" s="3"/>
    </row>
    <row r="25" ht="14.25">
      <c r="A25" s="2"/>
      <c r="B25" s="3"/>
    </row>
    <row r="26" ht="14.25">
      <c r="A26" s="2"/>
      <c r="B26" s="3"/>
    </row>
    <row r="27" ht="14.25">
      <c r="A27" s="2"/>
      <c r="B27" s="3"/>
    </row>
    <row r="28" ht="14.25">
      <c r="A28" s="2"/>
      <c r="B28" s="3"/>
    </row>
    <row r="29" ht="14.25">
      <c r="A29" s="2"/>
      <c r="B29" s="3"/>
    </row>
    <row r="30" ht="14.25">
      <c r="A30" s="2"/>
      <c r="B30" s="3"/>
    </row>
    <row r="31" ht="14.25">
      <c r="A31" s="2"/>
      <c r="B31" s="3"/>
    </row>
    <row r="32" ht="14.25">
      <c r="A32" s="2"/>
      <c r="B32" s="3"/>
    </row>
    <row r="37" ht="14.25">
      <c r="S37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2026-06-24T00:14:49Z</dcterms:modified>
</cp:coreProperties>
</file>